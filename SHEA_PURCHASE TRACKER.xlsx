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" activeTab="1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Bons de Commande" sheetId="2" state="visible" r:id="rId2"/>
    <sheet xmlns:r="http://schemas.openxmlformats.org/officeDocument/2006/relationships" name="CODE FRS" sheetId="3" state="visible" r:id="rId3"/>
    <sheet xmlns:r="http://schemas.openxmlformats.org/officeDocument/2006/relationships" name="Commandes Dechargees" sheetId="4" state="visible" r:id="rId4"/>
    <sheet xmlns:r="http://schemas.openxmlformats.org/officeDocument/2006/relationships" name="Releve Comptes Fournisseurs" sheetId="5" state="visible" r:id="rId5"/>
  </sheets>
  <definedNames>
    <definedName name="_xlnm._FilterDatabase" localSheetId="2" hidden="1">'CODE FRS'!$B$3:$C$62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[$XOF]\ * #,##0_);_([$XOF]\ * \(#,##0\);_([$XOF]\ * &quot;-&quot;_);_(@_)"/>
    <numFmt numFmtId="166" formatCode="0.0%"/>
  </numFmts>
  <fonts count="26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8"/>
    </font>
    <font>
      <name val="Arial"/>
      <family val="2"/>
      <i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8"/>
    </font>
    <font>
      <name val="Arial"/>
      <family val="2"/>
      <b val="1"/>
      <color rgb="FF1F3864"/>
      <sz val="9"/>
    </font>
    <font>
      <name val="Arial"/>
      <family val="2"/>
      <b val="1"/>
      <color rgb="FF2E5395"/>
      <sz val="14"/>
    </font>
    <font>
      <name val="Arial"/>
      <family val="2"/>
      <color rgb="FF000000"/>
      <sz val="10"/>
    </font>
    <font>
      <name val="Calibri"/>
      <charset val="1"/>
      <family val="2"/>
      <sz val="8"/>
    </font>
    <font>
      <name val="Calibri"/>
      <family val="2"/>
      <b val="1"/>
      <color theme="1"/>
      <sz val="12"/>
    </font>
    <font>
      <name val="Arial"/>
      <family val="2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Arial"/>
      <family val="2"/>
      <b val="1"/>
      <sz val="12"/>
    </font>
    <font>
      <name val="Arial"/>
      <family val="2"/>
      <b val="1"/>
      <color rgb="FF0070C0"/>
      <sz val="12"/>
    </font>
    <font>
      <name val="Calibri"/>
      <family val="2"/>
      <color theme="1"/>
      <sz val="11"/>
    </font>
    <font>
      <name val="Arial"/>
      <family val="2"/>
      <b val="1"/>
      <color rgb="FF00B050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1F3864"/>
      <sz val="18"/>
    </font>
    <font>
      <name val="Calibri"/>
      <charset val="1"/>
      <family val="2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2"/>
    </font>
    <font>
      <name val="Calibri"/>
      <family val="2"/>
      <b val="1"/>
      <color rgb="FFFF0000"/>
      <sz val="12"/>
    </font>
    <font>
      <name val="Calibri"/>
      <family val="2"/>
      <b val="1"/>
      <color rgb="FF00B050"/>
      <sz val="12"/>
    </font>
    <font>
      <name val="Calibri"/>
      <charset val="1"/>
      <family val="2"/>
      <color theme="1"/>
      <sz val="14"/>
    </font>
    <font>
      <name val="Calibri"/>
      <family val="2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rgb="FFB7C3DA"/>
      </left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 style="thin">
        <color rgb="FFB7C3DA"/>
      </right>
      <top/>
      <bottom style="thin">
        <color rgb="FFB7C3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/>
      <top style="thin">
        <color rgb="FFB7C3DA"/>
      </top>
      <bottom style="thin">
        <color rgb="FFB7C3DA"/>
      </bottom>
      <diagonal/>
    </border>
    <border>
      <left/>
      <right style="thin">
        <color rgb="FFB7C3DA"/>
      </right>
      <top/>
      <bottom style="thin">
        <color rgb="FFB7C3DA"/>
      </bottom>
      <diagonal/>
    </border>
    <border>
      <left style="thin">
        <color rgb="FFB7C3DA"/>
      </left>
      <right/>
      <top/>
      <bottom style="thin">
        <color rgb="FFB7C3DA"/>
      </bottom>
      <diagonal/>
    </border>
    <border>
      <left style="thin">
        <color rgb="FFB7C3DA"/>
      </left>
      <right style="thin">
        <color rgb="FFB7C3DA"/>
      </right>
      <top style="thin">
        <color rgb="FFB7C3DA"/>
      </top>
      <bottom/>
      <diagonal/>
    </border>
    <border>
      <left style="thin">
        <color rgb="FFB7C3DA"/>
      </left>
      <right/>
      <top style="thin">
        <color rgb="FFB7C3DA"/>
      </top>
      <bottom/>
      <diagonal/>
    </border>
    <border>
      <left/>
      <right style="thin">
        <color rgb="FFB7C3DA"/>
      </right>
      <top style="thin">
        <color rgb="FFB7C3DA"/>
      </top>
      <bottom/>
      <diagonal/>
    </border>
    <border>
      <left/>
      <right/>
      <top style="thin">
        <color rgb="FFB7C3DA"/>
      </top>
      <bottom/>
      <diagonal/>
    </border>
    <border>
      <left style="thin">
        <color rgb="FFB7C3DA"/>
      </left>
      <right/>
      <top/>
      <bottom/>
      <diagonal/>
    </border>
    <border>
      <left/>
      <right style="thin">
        <color rgb="FFB7C3DA"/>
      </right>
      <top/>
      <bottom/>
      <diagonal/>
    </border>
  </borders>
  <cellStyleXfs count="2">
    <xf numFmtId="0" fontId="0" fillId="0" borderId="0"/>
    <xf numFmtId="43" fontId="1" fillId="0" borderId="0"/>
  </cellStyleXfs>
  <cellXfs count="77">
    <xf numFmtId="0" fontId="0" fillId="0" borderId="0" pivotButton="0" quotePrefix="0" xfId="0"/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6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2" fillId="2" borderId="2" applyAlignment="1" pivotButton="0" quotePrefix="0" xfId="0">
      <alignment horizontal="center" vertical="center" wrapText="1"/>
    </xf>
    <xf numFmtId="0" fontId="8" fillId="5" borderId="4" pivotButton="0" quotePrefix="0" xfId="0"/>
    <xf numFmtId="0" fontId="11" fillId="2" borderId="6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9" fontId="0" fillId="0" borderId="5" applyAlignment="1" pivotButton="0" quotePrefix="0" xfId="0">
      <alignment horizontal="center" vertical="center" wrapText="1"/>
    </xf>
    <xf numFmtId="164" fontId="14" fillId="0" borderId="3" pivotButton="0" quotePrefix="0" xfId="1"/>
    <xf numFmtId="164" fontId="16" fillId="0" borderId="3" pivotButton="0" quotePrefix="0" xfId="1"/>
    <xf numFmtId="164" fontId="17" fillId="0" borderId="3" pivotButton="0" quotePrefix="0" xfId="1"/>
    <xf numFmtId="0" fontId="10" fillId="0" borderId="3" applyAlignment="1" pivotButton="0" quotePrefix="0" xfId="0">
      <alignment horizontal="center"/>
    </xf>
    <xf numFmtId="164" fontId="13" fillId="0" borderId="3" applyAlignment="1" pivotButton="0" quotePrefix="0" xfId="1">
      <alignment horizontal="center"/>
    </xf>
    <xf numFmtId="1" fontId="0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4" fontId="15" fillId="0" borderId="1" applyAlignment="1" pivotButton="0" quotePrefix="0" xfId="0">
      <alignment horizontal="center" vertical="center" wrapText="1"/>
    </xf>
    <xf numFmtId="14" fontId="0" fillId="7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165" fontId="21" fillId="0" borderId="3" applyAlignment="1" pivotButton="0" quotePrefix="0" xfId="0">
      <alignment horizontal="center" vertical="center"/>
    </xf>
    <xf numFmtId="165" fontId="22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0" fontId="24" fillId="0" borderId="3" pivotButton="0" quotePrefix="0" xfId="0"/>
    <xf numFmtId="14" fontId="4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14" fontId="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/>
    </xf>
    <xf numFmtId="3" fontId="0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14" fontId="0" fillId="7" borderId="8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4" fontId="4" fillId="2" borderId="6" applyAlignment="1" pivotButton="0" quotePrefix="0" xfId="0">
      <alignment horizontal="center" vertical="center" wrapText="1"/>
    </xf>
    <xf numFmtId="3" fontId="19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3" fontId="18" fillId="4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166" fontId="7" fillId="0" borderId="1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165" fontId="21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165" fontId="22" fillId="0" borderId="3" applyAlignment="1" pivotButton="0" quotePrefix="0" xfId="0">
      <alignment horizontal="center" vertical="center"/>
    </xf>
    <xf numFmtId="164" fontId="13" fillId="0" borderId="3" applyAlignment="1" pivotButton="0" quotePrefix="0" xfId="1">
      <alignment horizontal="center"/>
    </xf>
    <xf numFmtId="164" fontId="14" fillId="0" borderId="3" pivotButton="0" quotePrefix="0" xfId="1"/>
    <xf numFmtId="164" fontId="16" fillId="0" borderId="3" pivotButton="0" quotePrefix="0" xfId="1"/>
    <xf numFmtId="164" fontId="17" fillId="0" borderId="3" pivotButton="0" quotePrefix="0" xfId="1"/>
  </cellXfs>
  <cellStyles count="2">
    <cellStyle name="Normal" xfId="0" builtinId="0"/>
    <cellStyle name="Milliers" xfId="1" builtinId="3"/>
  </cellStyles>
  <dxfs count="60">
    <dxf>
      <font>
        <b val="1"/>
        <color rgb="FFB00020"/>
      </font>
      <fill>
        <patternFill>
          <bgColor rgb="FFFBD5D5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1E7B45"/>
      </font>
      <fill>
        <patternFill>
          <bgColor rgb="FFC6E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B00020"/>
      </font>
      <fill>
        <patternFill>
          <bgColor rgb="FFFBD5D5"/>
        </patternFill>
      </fill>
    </dxf>
    <dxf>
      <font>
        <b val="1"/>
        <color rgb="FF1E7B45"/>
      </font>
      <fill>
        <patternFill>
          <bgColor rgb="FFC6E7CE"/>
        </patternFill>
      </fill>
    </dxf>
    <dxf>
      <font>
        <b val="1"/>
        <color rgb="FFFF0000"/>
      </font>
      <fill>
        <patternFill>
          <bgColor theme="9" tint="0.3999450666829432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FF0000"/>
      </font>
      <fill>
        <patternFill>
          <bgColor theme="9" tint="0.3999450666829432"/>
        </patternFill>
      </fill>
    </dxf>
    <dxf>
      <font>
        <b val="1"/>
        <color theme="6" tint="-0.249946592608417"/>
      </font>
      <fill>
        <patternFill>
          <bgColor rgb="FFBEF0D2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solid">
          <fgColor rgb="FFF9F9F9"/>
          <bgColor rgb="FFF2F2F2"/>
        </patternFill>
      </fill>
      <alignment horizontal="center" vertical="center" wrapText="1"/>
      <border outline="0">
        <left style="thin">
          <color rgb="FFB7C3DA"/>
        </left>
        <right/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9F9F9"/>
          <bgColor rgb="FFF2F2F2"/>
        </patternFill>
      </fill>
      <border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fill>
        <patternFill patternType="solid">
          <fgColor rgb="FFF9F9F9"/>
          <bgColor rgb="FFF2F2F2"/>
        </patternFill>
      </fill>
      <alignment horizontal="center" vertical="center" wrapText="1"/>
    </dxf>
    <dxf>
      <border outline="0">
        <bottom style="thin">
          <color rgb="FFB7C3DA"/>
        </bottom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/>
        <bottom/>
      </border>
    </dxf>
    <dxf>
      <alignment horizontal="center" vertical="center" wrapText="1"/>
      <border>
        <left style="thin">
          <color rgb="FFB7C3DA"/>
        </left>
        <right/>
        <top style="thin">
          <color rgb="FFB7C3DA"/>
        </top>
        <bottom style="thin">
          <color rgb="FFB7C3DA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left" vertical="center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" formatCode="0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wrapText="1"/>
      <border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border outline="0">
        <bottom style="thin">
          <color rgb="FFB7C3DA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/>
        <bottom/>
      </border>
    </dxf>
    <dxf>
      <numFmt numFmtId="0" formatCode="General"/>
      <alignment horizontal="center"/>
    </dxf>
    <dxf>
      <alignment horizontal="center"/>
    </dxf>
    <dxf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/>
    </dxf>
    <dxf>
      <alignment horizontal="center"/>
    </dxf>
    <dxf>
      <numFmt numFmtId="0" formatCode="General"/>
      <alignment horizontal="center" vertical="center" wrapText="1"/>
      <border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/>
    </dxf>
    <dxf>
      <numFmt numFmtId="19" formatCode="dd/mm/yyyy"/>
      <alignment horizontal="center"/>
    </dxf>
    <dxf>
      <border outline="0">
        <top style="thin">
          <color rgb="FFB7C3DA"/>
        </top>
      </border>
    </dxf>
    <dxf>
      <border outline="0">
        <bottom style="thin">
          <color rgb="FFB7C3DA"/>
        </bottom>
      </border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33333"/>
          <bgColor rgb="FF1F3864"/>
        </patternFill>
      </fill>
      <alignment horizontal="center" vertical="center" wrapText="1"/>
      <border outline="0">
        <left style="thin">
          <color rgb="FFB7C3DA"/>
        </left>
        <right style="thin">
          <color rgb="FFB7C3DA"/>
        </right>
        <top/>
        <bottom/>
      </border>
    </dxf>
  </dxf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9C6500"/>
      <rgbColor rgb="FF800080"/>
      <rgbColor rgb="FF1E7B45"/>
      <rgbColor rgb="FFB7C3DA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7CE"/>
      <rgbColor rgb="FFF9F9F9"/>
      <rgbColor rgb="FF99CCFF"/>
      <rgbColor rgb="FFFF99CC"/>
      <rgbColor rgb="FFCC99FF"/>
      <rgbColor rgb="FFFBD5D5"/>
      <rgbColor rgb="FF4F81BD"/>
      <rgbColor rgb="FF33CCCC"/>
      <rgbColor rgb="FF9BBB59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C0504D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tc={49EAC73E-3278-4A00-8546-DA413827C04F}</author>
  </authors>
  <commentList>
    <comment ref="D11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Mr ISAAC de Mme KADIATOU</t>
      </text>
    </comment>
  </commentList>
</comments>
</file>

<file path=xl/tables/table1.xml><?xml version="1.0" encoding="utf-8"?>
<table xmlns="http://schemas.openxmlformats.org/spreadsheetml/2006/main" id="1" name="Table1" displayName="Table1" ref="C4:K281" headerRowCount="1" totalsRowShown="0" headerRowDxfId="59" headerRowBorderDxfId="58" tableBorderDxfId="57">
  <sortState ref="C5:K98">
    <sortCondition ref="C4:C98"/>
  </sortState>
  <tableColumns count="9">
    <tableColumn id="1" name="Date" dataDxfId="56"/>
    <tableColumn id="2" name="N° BC" dataDxfId="55"/>
    <tableColumn id="10" name="Code Frs" dataDxfId="54"/>
    <tableColumn id="3" name="Fournisseur">
      <calculatedColumnFormula>_xlfn.XLOOKUP(Table1[[#This Row],[Code Frs]],'CODE FRS'!B:B,'CODE FRS'!C:C)</calculatedColumnFormula>
    </tableColumn>
    <tableColumn id="4" name="N° Camion" dataDxfId="53"/>
    <tableColumn id="5" name="Contact Chauffeur" dataDxfId="52"/>
    <tableColumn id="11" name="Order QTY(MT)" dataDxfId="51"/>
    <tableColumn id="6" name="Verdict Labo" dataDxfId="50"/>
    <tableColumn id="9" name="Statut Livraison" dataDxfId="49">
      <calculatedColumnFormula>_xlfn.IFNA(_xlfn.XLOOKUP(Table1[[#This Row],[N° BC]],'Commandes Dechargees'!B:B,'Commandes Dechargees'!P:P),"EN ATTENTE DE DECHARGEMENT")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Q174" headerRowCount="1" totalsRowShown="0" headerRowDxfId="48" headerRowBorderDxfId="47" tableBorderDxfId="46" totalsRowBorderDxfId="45">
  <sortState ref="A25:Q41">
    <sortCondition descending="1" ref="E4:E55"/>
  </sortState>
  <tableColumns count="17">
    <tableColumn id="1" name="Date Dechargement" dataDxfId="44"/>
    <tableColumn id="2" name="N° BC" dataDxfId="43"/>
    <tableColumn id="3" name="Transaction" dataDxfId="42"/>
    <tableColumn id="4" name="Code Frs" dataDxfId="41"/>
    <tableColumn id="5" name="Fournisseur" dataDxfId="40">
      <calculatedColumnFormula>_xlfn.XLOOKUP(D5,'CODE FRS'!B:B,'CODE FRS'!C:C)</calculatedColumnFormula>
    </tableColumn>
    <tableColumn id="6" name="N° Camion" dataDxfId="39"/>
    <tableColumn id="7" name="WEIGHMENT TICKET" dataDxfId="38"/>
    <tableColumn id="8" name="Poids Net (KG)" dataDxfId="37"/>
    <tableColumn id="9" name="Nb Sacs" dataDxfId="36"/>
    <tableColumn id="10" name="PU (FCFA/KG)" dataDxfId="35"/>
    <tableColumn id="11" name="Montant Du" dataDxfId="34">
      <calculatedColumnFormula>H5*J5</calculatedColumnFormula>
    </tableColumn>
    <tableColumn id="12" name="Montant Paye" dataDxfId="33"/>
    <tableColumn id="13" name="Solde Restant" dataDxfId="32">
      <calculatedColumnFormula>K5-L5</calculatedColumnFormula>
    </tableColumn>
    <tableColumn id="14" name="Statut Paiement" dataDxfId="31">
      <calculatedColumnFormula array="1">_xlfn.IFNA(_xlfn.IFS(M5=0,"PAYE",K5=M5,"NON PAYE"),"PARTIEL")</calculatedColumnFormula>
    </tableColumn>
    <tableColumn id="15" name="Bon de paiement" dataDxfId="30"/>
    <tableColumn id="16" name="Statut Livraison" dataDxfId="29"/>
    <tableColumn id="17" name="Lieu Stockage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C4:L50" headerRowCount="1" totalsRowShown="0" headerRowDxfId="27" dataDxfId="25" headerRowBorderDxfId="26" tableBorderDxfId="24" totalsRowBorderDxfId="23">
  <autoFilter ref="C4:L50"/>
  <tableColumns count="10">
    <tableColumn id="1" name="Code FRS" dataDxfId="22">
      <calculatedColumnFormula>'CODE FRS'!B4</calculatedColumnFormula>
    </tableColumn>
    <tableColumn id="2" name="Fournisseur" dataDxfId="21">
      <calculatedColumnFormula>_xlfn.XLOOKUP(C5,'CODE FRS'!B:B,'CODE FRS'!C:C)</calculatedColumnFormula>
    </tableColumn>
    <tableColumn id="3" name="Nb BC Passes" dataDxfId="20">
      <calculatedColumnFormula>COUNTIF('Bons de Commande'!E:E,Table3[[#This Row],[Code FRS]])</calculatedColumnFormula>
    </tableColumn>
    <tableColumn id="4" name="Nb rejet" dataDxfId="19">
      <calculatedColumnFormula>COUNTIFS(Table1[Statut Livraison],"REJETE",Table1[Fournisseur],Table3[[#This Row],[Fournisseur]])</calculatedColumnFormula>
    </tableColumn>
    <tableColumn id="5" name="Nb Camions Livres" dataDxfId="18">
      <calculatedColumnFormula>COUNTIF('Commandes Dechargees'!D:D,Table3[[#This Row],[Code FRS]])</calculatedColumnFormula>
    </tableColumn>
    <tableColumn id="6" name="Poids Net Livre (KG)" dataDxfId="17">
      <calculatedColumnFormula>SUMIFS('Commandes Dechargees'!H:H,'Commandes Dechargees'!D:D,Table3[[#This Row],[Code FRS]])</calculatedColumnFormula>
    </tableColumn>
    <tableColumn id="7" name="Montant Total Du (FCFA)" dataDxfId="16">
      <calculatedColumnFormula>SUMIFS('Commandes Dechargees'!K:K,'Commandes Dechargees'!D:D,Table3[[#This Row],[Code FRS]])</calculatedColumnFormula>
    </tableColumn>
    <tableColumn id="8" name="Montant Paye (FCFA)" dataDxfId="15">
      <calculatedColumnFormula>SUMIFS('Commandes Dechargees'!L:L,'Commandes Dechargees'!D:D,Table3[[#This Row],[Code FRS]])</calculatedColumnFormula>
    </tableColumn>
    <tableColumn id="9" name="Solde Restant Du (FCFA)" dataDxfId="14">
      <calculatedColumnFormula>I5-J5</calculatedColumnFormula>
    </tableColumn>
    <tableColumn id="10" name="% Paye" dataDxfId="13">
      <calculatedColumnFormula>IFERROR(J5/I5,0)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L10"/>
  <sheetViews>
    <sheetView showGridLines="0" zoomScaleNormal="100" workbookViewId="0">
      <selection activeCell="C10" sqref="C10:D10"/>
    </sheetView>
  </sheetViews>
  <sheetFormatPr baseColWidth="10" defaultColWidth="8.6328125" defaultRowHeight="14.5"/>
  <cols>
    <col width="13" customWidth="1" min="1" max="12"/>
  </cols>
  <sheetData>
    <row r="1" ht="45.75" customHeight="1">
      <c r="A1" s="59" t="inlineStr">
        <is>
          <t>TABLEAU DE BORD - ACHATS KARITE &amp; FOURNISSEURS</t>
        </is>
      </c>
    </row>
    <row r="2" ht="18" customHeight="1">
      <c r="A2" s="60" t="n"/>
    </row>
    <row r="4" ht="27.75" customHeight="1">
      <c r="A4" s="61" t="inlineStr">
        <is>
          <t>BONS DE COMMANDE EMIS</t>
        </is>
      </c>
      <c r="B4" s="62" t="n"/>
      <c r="C4" s="61" t="inlineStr">
        <is>
          <t>CAMIONS DECHARGES</t>
        </is>
      </c>
      <c r="D4" s="62" t="n"/>
      <c r="E4" s="61" t="inlineStr">
        <is>
          <t>EN ATTENTE DE DECHARGEMENT</t>
        </is>
      </c>
      <c r="F4" s="62" t="n"/>
      <c r="G4" s="61" t="inlineStr">
        <is>
          <t>POIDS NET TOTAL LIVRE (KG)</t>
        </is>
      </c>
      <c r="H4" s="62" t="n"/>
      <c r="I4" s="61" t="inlineStr">
        <is>
          <t>MONTANT TOTAL ACHATS (FCFA)</t>
        </is>
      </c>
      <c r="J4" s="62" t="n"/>
      <c r="K4" s="61" t="inlineStr">
        <is>
          <t>SOLDE RESTANT DU (FCFA)</t>
        </is>
      </c>
      <c r="L4" s="62" t="n"/>
    </row>
    <row r="5" ht="19.5" customHeight="1">
      <c r="A5" s="56">
        <f>COUNTA('Bons de Commande'!D5:D1048576)</f>
        <v/>
      </c>
      <c r="B5" s="63" t="n"/>
      <c r="C5" s="56">
        <f>COUNTA('Commandes Dechargees'!D5:D1048576)</f>
        <v/>
      </c>
      <c r="D5" s="63" t="n"/>
      <c r="E5" s="58">
        <f>COUNTIF('Bons de Commande'!J5:J1048576,"EN ATTENTE")</f>
        <v/>
      </c>
      <c r="F5" s="63" t="n"/>
      <c r="G5" s="56">
        <f>SUM('Commandes Dechargees'!H5:H1048576)</f>
        <v/>
      </c>
      <c r="H5" s="63" t="n"/>
      <c r="I5" s="56">
        <f>SUM('Commandes Dechargees'!K5:K1048576)</f>
        <v/>
      </c>
      <c r="J5" s="63" t="n"/>
      <c r="K5" s="56">
        <f>SUM('Commandes Dechargees'!M5:M1048576)</f>
        <v/>
      </c>
      <c r="L5" s="63" t="n"/>
    </row>
    <row r="6" ht="19.5" customHeight="1">
      <c r="A6" s="64" t="n"/>
      <c r="B6" s="65" t="n"/>
      <c r="C6" s="64" t="n"/>
      <c r="D6" s="65" t="n"/>
      <c r="E6" s="64" t="n"/>
      <c r="F6" s="65" t="n"/>
      <c r="G6" s="64" t="n"/>
      <c r="H6" s="65" t="n"/>
      <c r="I6" s="64" t="n"/>
      <c r="J6" s="65" t="n"/>
      <c r="K6" s="64" t="n"/>
      <c r="L6" s="65" t="n"/>
    </row>
    <row r="7" ht="19.5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  <c r="K7" s="66" t="n"/>
      <c r="L7" s="67" t="n"/>
    </row>
    <row r="9" ht="25.5" customHeight="1">
      <c r="A9" s="57" t="inlineStr">
        <is>
          <t>MONTANT PAYE (FCFA)</t>
        </is>
      </c>
      <c r="B9" s="62" t="n"/>
      <c r="C9" s="57" t="inlineStr">
        <is>
          <t>% MONTANT PAYE</t>
        </is>
      </c>
      <c r="D9" s="62" t="n"/>
      <c r="E9" s="57" t="inlineStr">
        <is>
          <t>LIVRAISONS NON PAYEES</t>
        </is>
      </c>
      <c r="F9" s="62" t="n"/>
      <c r="G9" s="57" t="inlineStr">
        <is>
          <t>LIVRAISONS PARTIELLEMENT PAYEES</t>
        </is>
      </c>
      <c r="H9" s="62" t="n"/>
      <c r="I9" s="57" t="inlineStr">
        <is>
          <t>FOURNISSEURS ACTIFS</t>
        </is>
      </c>
      <c r="J9" s="62" t="n"/>
      <c r="K9" s="57" t="inlineStr">
        <is>
          <t>ECARTS PO/CAMION A VERIFIER</t>
        </is>
      </c>
      <c r="L9" s="62" t="n"/>
    </row>
    <row r="10" ht="21.75" customHeight="1">
      <c r="A10" s="54">
        <f>SUM('Commandes Dechargees'!L5:L1048576)</f>
        <v/>
      </c>
      <c r="B10" s="62" t="n"/>
      <c r="C10" s="68">
        <f>A10/I5</f>
        <v/>
      </c>
      <c r="D10" s="62" t="n"/>
      <c r="E10" s="54">
        <f>COUNTIF('Commandes Dechargees'!N5:N1048576,"NON PAYE")</f>
        <v/>
      </c>
      <c r="F10" s="62" t="n"/>
      <c r="G10" s="54">
        <f>COUNTIF('Commandes Dechargees'!N5:N1048576,"PARTIEL")</f>
        <v/>
      </c>
      <c r="H10" s="62" t="n"/>
      <c r="I10" s="54">
        <f>COUNTA(_xlfn.UNIQUE('Commandes Dechargees'!D5:D1048576))</f>
        <v/>
      </c>
      <c r="J10" s="62" t="n"/>
      <c r="K10" s="54">
        <f>COUNTIF('Bons de Commande'!D5:D1048576,"NONE")</f>
        <v/>
      </c>
      <c r="L10" s="62" t="n"/>
    </row>
  </sheetData>
  <mergeCells count="26">
    <mergeCell ref="A9:B9"/>
    <mergeCell ref="K9:L9"/>
    <mergeCell ref="C4:D4"/>
    <mergeCell ref="E4:F4"/>
    <mergeCell ref="A2:L2"/>
    <mergeCell ref="C5:D7"/>
    <mergeCell ref="C10:D10"/>
    <mergeCell ref="E5:F7"/>
    <mergeCell ref="K5:L7"/>
    <mergeCell ref="E10:F10"/>
    <mergeCell ref="G10:H10"/>
    <mergeCell ref="C9:D9"/>
    <mergeCell ref="E9:F9"/>
    <mergeCell ref="I5:J7"/>
    <mergeCell ref="A4:B4"/>
    <mergeCell ref="G4:H4"/>
    <mergeCell ref="I4:J4"/>
    <mergeCell ref="G5:H7"/>
    <mergeCell ref="I10:J10"/>
    <mergeCell ref="A1:L1"/>
    <mergeCell ref="A5:B7"/>
    <mergeCell ref="K10:L10"/>
    <mergeCell ref="A10:B10"/>
    <mergeCell ref="K4:L4"/>
    <mergeCell ref="G9:H9"/>
    <mergeCell ref="I9:J9"/>
  </mergeCells>
  <pageMargins left="0.3" right="0.3" top="0.4" bottom="0.4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tabColor rgb="FF2E5395"/>
    <outlinePr summaryBelow="1" summaryRight="1"/>
    <pageSetUpPr fitToPage="1"/>
  </sheetPr>
  <dimension ref="A1:K281"/>
  <sheetViews>
    <sheetView showGridLines="0" tabSelected="1" zoomScale="87" zoomScaleNormal="87" workbookViewId="0">
      <pane ySplit="4" topLeftCell="A93" activePane="bottomLeft" state="frozen"/>
      <selection pane="bottomLeft" activeCell="H240" sqref="H240"/>
    </sheetView>
  </sheetViews>
  <sheetFormatPr baseColWidth="10" defaultColWidth="8.6328125" defaultRowHeight="14.5"/>
  <cols>
    <col width="37.90625" bestFit="1" customWidth="1" style="45" min="3" max="3"/>
    <col width="15.08984375" customWidth="1" style="45" min="4" max="4"/>
    <col width="19.08984375" customWidth="1" min="5" max="5"/>
    <col width="30.81640625" bestFit="1" customWidth="1" min="6" max="6"/>
    <col width="22.54296875" bestFit="1" customWidth="1" style="45" min="7" max="7"/>
    <col width="26.26953125" bestFit="1" customWidth="1" style="46" min="8" max="8"/>
    <col width="26.26953125" customWidth="1" min="9" max="9"/>
    <col width="19.81640625" bestFit="1" customWidth="1" style="45" min="10" max="10"/>
    <col width="33.6328125" customWidth="1" style="45" min="11" max="11"/>
  </cols>
  <sheetData>
    <row r="1" ht="42" customHeight="1">
      <c r="C1" s="43" t="inlineStr">
        <is>
          <t xml:space="preserve">BONS DE COMMANDE </t>
        </is>
      </c>
      <c r="D1" s="43" t="n"/>
      <c r="E1" s="9" t="n"/>
      <c r="F1" s="9" t="n"/>
      <c r="G1" s="43" t="n"/>
      <c r="H1" s="43" t="n"/>
      <c r="I1" s="9" t="n"/>
      <c r="J1" s="43" t="n"/>
      <c r="K1" s="43" t="n"/>
    </row>
    <row r="2" ht="18" customHeight="1">
      <c r="C2" s="44" t="n"/>
      <c r="D2" s="44" t="n"/>
      <c r="E2" s="10" t="n"/>
      <c r="F2" s="10" t="n"/>
      <c r="G2" s="44" t="n"/>
      <c r="H2" s="44" t="n"/>
      <c r="I2" s="10" t="n"/>
      <c r="J2" s="44" t="n"/>
      <c r="K2" s="44" t="n"/>
    </row>
    <row r="4" ht="34" customHeight="1">
      <c r="C4" s="33" t="inlineStr">
        <is>
          <t>Date</t>
        </is>
      </c>
      <c r="D4" s="11" t="inlineStr">
        <is>
          <t>N° BC</t>
        </is>
      </c>
      <c r="E4" s="6" t="inlineStr">
        <is>
          <t>Code Frs</t>
        </is>
      </c>
      <c r="F4" s="6" t="inlineStr">
        <is>
          <t>Fournisseur</t>
        </is>
      </c>
      <c r="G4" s="6" t="inlineStr">
        <is>
          <t>N° Camion</t>
        </is>
      </c>
      <c r="H4" s="6" t="inlineStr">
        <is>
          <t>Contact Chauffeur</t>
        </is>
      </c>
      <c r="I4" s="11" t="inlineStr">
        <is>
          <t>Order QTY(MT)</t>
        </is>
      </c>
      <c r="J4" s="6" t="inlineStr">
        <is>
          <t>Verdict Labo</t>
        </is>
      </c>
      <c r="K4" s="11" t="inlineStr">
        <is>
          <t>Statut Livraison</t>
        </is>
      </c>
    </row>
    <row r="5" ht="25.5" customHeight="1">
      <c r="C5" s="1" t="n">
        <v>46239</v>
      </c>
      <c r="D5" s="2" t="inlineStr">
        <is>
          <t>0001-BC-SHEA/NAP-2026</t>
        </is>
      </c>
      <c r="E5" s="2" t="inlineStr">
        <is>
          <t>FRS00001</t>
        </is>
      </c>
      <c r="F5" s="3">
        <f>_xlfn.XLOOKUP(Table1[[#This Row],[Code Frs]],'CODE FRS'!B:B,'CODE FRS'!C:C)</f>
        <v/>
      </c>
      <c r="G5" s="2" t="inlineStr">
        <is>
          <t>CA7583RB/AP2290RB</t>
        </is>
      </c>
      <c r="H5" s="2" t="n">
        <v>197257982</v>
      </c>
      <c r="I5" s="2" t="n">
        <v>50</v>
      </c>
      <c r="J5" s="2" t="inlineStr">
        <is>
          <t>APROUVE</t>
        </is>
      </c>
      <c r="K5" s="2">
        <f>_xlfn.IFNA(_xlfn.XLOOKUP(Table1[[#This Row],[N° BC]],'Commandes Dechargees'!B:B,'Commandes Dechargees'!P:P),"EN ATTENTE DE DECHARGEMENT")</f>
        <v/>
      </c>
    </row>
    <row r="6" ht="25.5" customHeight="1">
      <c r="C6" s="1" t="n">
        <v>46241</v>
      </c>
      <c r="D6" s="2" t="inlineStr">
        <is>
          <t>0002-BC-SHEA/NAP-2026</t>
        </is>
      </c>
      <c r="E6" s="2" t="inlineStr">
        <is>
          <t>FRS00002</t>
        </is>
      </c>
      <c r="F6" s="3">
        <f>_xlfn.XLOOKUP(Table1[[#This Row],[Code Frs]],'CODE FRS'!B:B,'CODE FRS'!C:C)</f>
        <v/>
      </c>
      <c r="G6" s="2" t="inlineStr">
        <is>
          <t>BL6012RB/AS9458RB</t>
        </is>
      </c>
      <c r="H6" s="2" t="n">
        <v>194252204</v>
      </c>
      <c r="I6" s="2" t="n">
        <v>50</v>
      </c>
      <c r="J6" s="2" t="inlineStr">
        <is>
          <t>APROUVE</t>
        </is>
      </c>
      <c r="K6" s="2">
        <f>_xlfn.IFNA(_xlfn.XLOOKUP(Table1[[#This Row],[N° BC]],'Commandes Dechargees'!B:B,'Commandes Dechargees'!P:P),"EN ATTENTE DE DECHARGEMENT")</f>
        <v/>
      </c>
    </row>
    <row r="7" ht="25.5" customHeight="1">
      <c r="C7" s="1" t="n">
        <v>46242</v>
      </c>
      <c r="D7" s="2" t="inlineStr">
        <is>
          <t>0003-BC-SHEA/NAP-2026</t>
        </is>
      </c>
      <c r="E7" s="2" t="inlineStr">
        <is>
          <t>FRS00001</t>
        </is>
      </c>
      <c r="F7" s="3">
        <f>_xlfn.XLOOKUP(Table1[[#This Row],[Code Frs]],'CODE FRS'!B:B,'CODE FRS'!C:C)</f>
        <v/>
      </c>
      <c r="G7" s="2" t="inlineStr">
        <is>
          <t>BU4105RB/BS8146RB</t>
        </is>
      </c>
      <c r="H7" s="2" t="n">
        <v>162958703</v>
      </c>
      <c r="I7" s="2" t="n">
        <v>50</v>
      </c>
      <c r="J7" s="2" t="inlineStr">
        <is>
          <t>APROUVE</t>
        </is>
      </c>
      <c r="K7" s="2">
        <f>_xlfn.IFNA(_xlfn.XLOOKUP(Table1[[#This Row],[N° BC]],'Commandes Dechargees'!B:B,'Commandes Dechargees'!P:P),"EN ATTENTE DE DECHARGEMENT")</f>
        <v/>
      </c>
    </row>
    <row r="8" ht="25.5" customHeight="1">
      <c r="C8" s="1" t="n">
        <v>46244</v>
      </c>
      <c r="D8" s="2" t="inlineStr">
        <is>
          <t>0004-BC-SHEA/NAP-2026</t>
        </is>
      </c>
      <c r="E8" s="2" t="inlineStr">
        <is>
          <t>FRS00001</t>
        </is>
      </c>
      <c r="F8" s="3">
        <f>_xlfn.XLOOKUP(Table1[[#This Row],[Code Frs]],'CODE FRS'!B:B,'CODE FRS'!C:C)</f>
        <v/>
      </c>
      <c r="G8" s="2" t="inlineStr">
        <is>
          <t>BT4680RB/BJ0826RB</t>
        </is>
      </c>
      <c r="H8" s="2" t="n">
        <v>197881184</v>
      </c>
      <c r="I8" s="2" t="n">
        <v>50</v>
      </c>
      <c r="J8" s="2" t="inlineStr">
        <is>
          <t>REJETE</t>
        </is>
      </c>
      <c r="K8" s="2" t="inlineStr">
        <is>
          <t>REJETE</t>
        </is>
      </c>
    </row>
    <row r="9" ht="25.5" customHeight="1">
      <c r="C9" s="1" t="n">
        <v>46244</v>
      </c>
      <c r="D9" s="2" t="inlineStr">
        <is>
          <t>0005-BC-SHEA/NAP-2026</t>
        </is>
      </c>
      <c r="E9" s="2" t="inlineStr">
        <is>
          <t>FRS00001</t>
        </is>
      </c>
      <c r="F9" s="3">
        <f>_xlfn.XLOOKUP(Table1[[#This Row],[Code Frs]],'CODE FRS'!B:B,'CODE FRS'!C:C)</f>
        <v/>
      </c>
      <c r="G9" s="2" t="inlineStr">
        <is>
          <t>CD0085RB/AN4107RB</t>
        </is>
      </c>
      <c r="H9" s="2" t="n">
        <v>196026166</v>
      </c>
      <c r="I9" s="2" t="n">
        <v>45</v>
      </c>
      <c r="J9" s="2" t="inlineStr">
        <is>
          <t>APROUVE</t>
        </is>
      </c>
      <c r="K9" s="2">
        <f>_xlfn.IFNA(_xlfn.XLOOKUP(Table1[[#This Row],[N° BC]],'Commandes Dechargees'!B:B,'Commandes Dechargees'!P:P),"EN ATTENTE DE DECHARGEMENT")</f>
        <v/>
      </c>
    </row>
    <row r="10" ht="25.5" customHeight="1">
      <c r="C10" s="1" t="n">
        <v>46244</v>
      </c>
      <c r="D10" s="2" t="inlineStr">
        <is>
          <t>0006-BC-SHEA/NAP-2026</t>
        </is>
      </c>
      <c r="E10" s="2" t="inlineStr">
        <is>
          <t>FRS00003</t>
        </is>
      </c>
      <c r="F10" s="3">
        <f>_xlfn.XLOOKUP(Table1[[#This Row],[Code Frs]],'CODE FRS'!B:B,'CODE FRS'!C:C)</f>
        <v/>
      </c>
      <c r="G10" s="2" t="inlineStr">
        <is>
          <t>BD6541RB/BD6542RB</t>
        </is>
      </c>
      <c r="H10" s="2" t="n">
        <v>140534093</v>
      </c>
      <c r="I10" s="2" t="n">
        <v>50</v>
      </c>
      <c r="J10" s="2" t="inlineStr">
        <is>
          <t>REJETE</t>
        </is>
      </c>
      <c r="K10" s="2" t="inlineStr">
        <is>
          <t>REJETE</t>
        </is>
      </c>
    </row>
    <row r="11" ht="25.5" customHeight="1">
      <c r="C11" s="1" t="n">
        <v>46244</v>
      </c>
      <c r="D11" s="2" t="inlineStr">
        <is>
          <t>0007-BC-SHEA/NAP-2026</t>
        </is>
      </c>
      <c r="E11" s="2" t="inlineStr">
        <is>
          <t>FRS00002</t>
        </is>
      </c>
      <c r="F11" s="3">
        <f>_xlfn.XLOOKUP(Table1[[#This Row],[Code Frs]],'CODE FRS'!B:B,'CODE FRS'!C:C)</f>
        <v/>
      </c>
      <c r="G11" s="2" t="inlineStr">
        <is>
          <t>CL7219RB/CH7144RB</t>
        </is>
      </c>
      <c r="H11" s="2" t="n">
        <v>153139048</v>
      </c>
      <c r="I11" s="2" t="n">
        <v>50</v>
      </c>
      <c r="J11" s="2" t="inlineStr">
        <is>
          <t>APROUVE</t>
        </is>
      </c>
      <c r="K11" s="2">
        <f>_xlfn.IFNA(_xlfn.XLOOKUP(Table1[[#This Row],[N° BC]],'Commandes Dechargees'!B:B,'Commandes Dechargees'!P:P),"EN ATTENTE DE DECHARGEMENT")</f>
        <v/>
      </c>
    </row>
    <row r="12" ht="25.5" customHeight="1">
      <c r="C12" s="1" t="n">
        <v>46244</v>
      </c>
      <c r="D12" s="2" t="inlineStr">
        <is>
          <t>0008-BC-SHEA/NAP-2026</t>
        </is>
      </c>
      <c r="E12" s="2" t="inlineStr">
        <is>
          <t>FRS00004</t>
        </is>
      </c>
      <c r="F12" s="3">
        <f>_xlfn.XLOOKUP(Table1[[#This Row],[Code Frs]],'CODE FRS'!B:B,'CODE FRS'!C:C)</f>
        <v/>
      </c>
      <c r="G12" s="2" t="inlineStr">
        <is>
          <t>CH7143RB</t>
        </is>
      </c>
      <c r="H12" s="2" t="n">
        <v>197275693</v>
      </c>
      <c r="I12" s="2" t="n">
        <v>50</v>
      </c>
      <c r="J12" s="2" t="inlineStr">
        <is>
          <t>EN ATTENTE</t>
        </is>
      </c>
      <c r="K12" s="2">
        <f>_xlfn.IFNA(_xlfn.XLOOKUP(Table1[[#This Row],[N° BC]],'Commandes Dechargees'!B:B,'Commandes Dechargees'!P:P),"EN ATTENTE DE DECHARGEMENT")</f>
        <v/>
      </c>
    </row>
    <row r="13" ht="25.5" customHeight="1">
      <c r="C13" s="1" t="n">
        <v>46244</v>
      </c>
      <c r="D13" s="2" t="inlineStr">
        <is>
          <t>0009-BC-SHEA/NAP-2026</t>
        </is>
      </c>
      <c r="E13" s="2" t="inlineStr">
        <is>
          <t>FRS00002</t>
        </is>
      </c>
      <c r="F13" s="3">
        <f>_xlfn.XLOOKUP(Table1[[#This Row],[Code Frs]],'CODE FRS'!B:B,'CODE FRS'!C:C)</f>
        <v/>
      </c>
      <c r="G13" s="2" t="inlineStr">
        <is>
          <t>CH7143RB/BU4686RB</t>
        </is>
      </c>
      <c r="H13" s="2" t="n">
        <v>196804429</v>
      </c>
      <c r="I13" s="2" t="n">
        <v>50</v>
      </c>
      <c r="J13" s="2" t="inlineStr">
        <is>
          <t>APROUVE</t>
        </is>
      </c>
      <c r="K13" s="2">
        <f>_xlfn.IFNA(_xlfn.XLOOKUP(Table1[[#This Row],[N° BC]],'Commandes Dechargees'!B:B,'Commandes Dechargees'!P:P),"EN ATTENTE DE DECHARGEMENT")</f>
        <v/>
      </c>
    </row>
    <row r="14" ht="25.5" customHeight="1">
      <c r="C14" s="1" t="n">
        <v>46246</v>
      </c>
      <c r="D14" s="2" t="inlineStr">
        <is>
          <t>0010-BC-SHEA/NAP-2026</t>
        </is>
      </c>
      <c r="E14" s="2" t="inlineStr">
        <is>
          <t>FRS00003</t>
        </is>
      </c>
      <c r="F14" s="3">
        <f>_xlfn.XLOOKUP(Table1[[#This Row],[Code Frs]],'CODE FRS'!B:B,'CODE FRS'!C:C)</f>
        <v/>
      </c>
      <c r="G14" s="2" t="inlineStr">
        <is>
          <t>BM5662RB/BB9141RB</t>
        </is>
      </c>
      <c r="H14" s="2" t="inlineStr">
        <is>
          <t>-</t>
        </is>
      </c>
      <c r="I14" s="2" t="n">
        <v>50</v>
      </c>
      <c r="J14" s="2" t="inlineStr">
        <is>
          <t>EN ATTENTE</t>
        </is>
      </c>
      <c r="K14" s="2">
        <f>_xlfn.IFNA(_xlfn.XLOOKUP(Table1[[#This Row],[N° BC]],'Commandes Dechargees'!B:B,'Commandes Dechargees'!P:P),"EN ATTENTE DE DECHARGEMENT")</f>
        <v/>
      </c>
    </row>
    <row r="15" ht="25.5" customHeight="1">
      <c r="C15" s="1" t="n">
        <v>46246</v>
      </c>
      <c r="D15" s="2" t="inlineStr">
        <is>
          <t>0011-BC-SHEA/NAP-2026</t>
        </is>
      </c>
      <c r="E15" s="2" t="inlineStr">
        <is>
          <t>FRS00002</t>
        </is>
      </c>
      <c r="F15" s="3">
        <f>_xlfn.XLOOKUP(Table1[[#This Row],[Code Frs]],'CODE FRS'!B:B,'CODE FRS'!C:C)</f>
        <v/>
      </c>
      <c r="G15" s="2" t="inlineStr">
        <is>
          <t>BZ6773RB/AM0814RB</t>
        </is>
      </c>
      <c r="H15" s="2" t="n">
        <v>164555251</v>
      </c>
      <c r="I15" s="2" t="n">
        <v>50</v>
      </c>
      <c r="J15" s="2" t="inlineStr">
        <is>
          <t>APROUVE</t>
        </is>
      </c>
      <c r="K15" s="2">
        <f>_xlfn.IFNA(_xlfn.XLOOKUP(Table1[[#This Row],[N° BC]],'Commandes Dechargees'!B:B,'Commandes Dechargees'!P:P),"EN ATTENTE DE DECHARGEMENT")</f>
        <v/>
      </c>
    </row>
    <row r="16" ht="25.5" customHeight="1">
      <c r="C16" s="1" t="n">
        <v>46246</v>
      </c>
      <c r="D16" s="2" t="inlineStr">
        <is>
          <t>0012-BC-SHEA/NAP-2026</t>
        </is>
      </c>
      <c r="E16" s="2" t="inlineStr">
        <is>
          <t>FRS00004</t>
        </is>
      </c>
      <c r="F16" s="3">
        <f>_xlfn.XLOOKUP(Table1[[#This Row],[Code Frs]],'CODE FRS'!B:B,'CODE FRS'!C:C)</f>
        <v/>
      </c>
      <c r="G16" s="2" t="inlineStr">
        <is>
          <t>CB0469RB/BZ8567RB</t>
        </is>
      </c>
      <c r="H16" s="2" t="n">
        <v>19063102</v>
      </c>
      <c r="I16" s="2" t="n">
        <v>50</v>
      </c>
      <c r="J16" s="2" t="inlineStr">
        <is>
          <t>REJETE</t>
        </is>
      </c>
      <c r="K16" s="2" t="inlineStr">
        <is>
          <t>REJETE</t>
        </is>
      </c>
    </row>
    <row r="17" ht="25.5" customHeight="1">
      <c r="C17" s="1" t="n">
        <v>46247</v>
      </c>
      <c r="D17" s="2" t="inlineStr">
        <is>
          <t>0013-BC-SHEA/NAP-2026</t>
        </is>
      </c>
      <c r="E17" s="2" t="inlineStr">
        <is>
          <t>FRS00003</t>
        </is>
      </c>
      <c r="F17" s="3">
        <f>_xlfn.XLOOKUP(Table1[[#This Row],[Code Frs]],'CODE FRS'!B:B,'CODE FRS'!C:C)</f>
        <v/>
      </c>
      <c r="G17" s="2" t="inlineStr">
        <is>
          <t xml:space="preserve"> AN3809RB/AS6857RB</t>
        </is>
      </c>
      <c r="H17" s="2" t="n">
        <v>140296383</v>
      </c>
      <c r="I17" s="2" t="n">
        <v>50</v>
      </c>
      <c r="J17" s="2" t="inlineStr">
        <is>
          <t>REJETE</t>
        </is>
      </c>
      <c r="K17" s="2" t="inlineStr">
        <is>
          <t>REJETE</t>
        </is>
      </c>
    </row>
    <row r="18" ht="25.5" customHeight="1">
      <c r="C18" s="1" t="n">
        <v>46247</v>
      </c>
      <c r="D18" s="2" t="inlineStr">
        <is>
          <t>0014-BC-SHEA/NAP-2026</t>
        </is>
      </c>
      <c r="E18" s="2" t="inlineStr">
        <is>
          <t>FRS00003</t>
        </is>
      </c>
      <c r="F18" s="3">
        <f>_xlfn.XLOOKUP(Table1[[#This Row],[Code Frs]],'CODE FRS'!B:B,'CODE FRS'!C:C)</f>
        <v/>
      </c>
      <c r="G18" s="2" t="inlineStr">
        <is>
          <t>BM5662RB/BB9141RB</t>
        </is>
      </c>
      <c r="H18" s="2" t="n">
        <v>196042763</v>
      </c>
      <c r="I18" s="2" t="n">
        <v>50</v>
      </c>
      <c r="J18" s="2" t="inlineStr">
        <is>
          <t>EN ATTENTE</t>
        </is>
      </c>
      <c r="K18" s="2">
        <f>_xlfn.IFNA(_xlfn.XLOOKUP(Table1[[#This Row],[N° BC]],'Commandes Dechargees'!B:B,'Commandes Dechargees'!P:P),"EN ATTENTE DE DECHARGEMENT")</f>
        <v/>
      </c>
    </row>
    <row r="19" ht="25.5" customHeight="1">
      <c r="C19" s="1" t="n">
        <v>46247</v>
      </c>
      <c r="D19" s="2" t="inlineStr">
        <is>
          <t>0015-BC-SHEA/NAP-2026</t>
        </is>
      </c>
      <c r="E19" s="2" t="inlineStr">
        <is>
          <t>FRS00005</t>
        </is>
      </c>
      <c r="F19" s="3">
        <f>_xlfn.XLOOKUP(Table1[[#This Row],[Code Frs]],'CODE FRS'!B:B,'CODE FRS'!C:C)</f>
        <v/>
      </c>
      <c r="G19" s="2" t="inlineStr">
        <is>
          <t>AZ4227RB/AE4983RB</t>
        </is>
      </c>
      <c r="H19" s="2" t="n">
        <v>197742448</v>
      </c>
      <c r="I19" s="2" t="n">
        <v>50</v>
      </c>
      <c r="J19" s="2" t="inlineStr">
        <is>
          <t>APROUVE</t>
        </is>
      </c>
      <c r="K19" s="2">
        <f>_xlfn.IFNA(_xlfn.XLOOKUP(Table1[[#This Row],[N° BC]],'Commandes Dechargees'!B:B,'Commandes Dechargees'!P:P),"EN ATTENTE DE DECHARGEMENT")</f>
        <v/>
      </c>
    </row>
    <row r="20" ht="25.5" customHeight="1">
      <c r="C20" s="1" t="n">
        <v>46247</v>
      </c>
      <c r="D20" s="2" t="inlineStr">
        <is>
          <t>0016-BC-SHEA/NAP-2026</t>
        </is>
      </c>
      <c r="E20" s="2" t="inlineStr">
        <is>
          <t>FRS00005</t>
        </is>
      </c>
      <c r="F20" s="3">
        <f>_xlfn.XLOOKUP(Table1[[#This Row],[Code Frs]],'CODE FRS'!B:B,'CODE FRS'!C:C)</f>
        <v/>
      </c>
      <c r="G20" s="2" t="inlineStr">
        <is>
          <t>BF4794RB/BG3245RB</t>
        </is>
      </c>
      <c r="H20" s="2" t="n">
        <v>148696900</v>
      </c>
      <c r="I20" s="2" t="n">
        <v>50</v>
      </c>
      <c r="J20" s="2" t="inlineStr">
        <is>
          <t>REJETE</t>
        </is>
      </c>
      <c r="K20" s="2" t="inlineStr">
        <is>
          <t>REJETE</t>
        </is>
      </c>
    </row>
    <row r="21" ht="25.5" customHeight="1">
      <c r="C21" s="1" t="n">
        <v>46247</v>
      </c>
      <c r="D21" s="2" t="inlineStr">
        <is>
          <t>0017-BC-SHEA/NAP-2026</t>
        </is>
      </c>
      <c r="E21" s="2" t="inlineStr">
        <is>
          <t>FRS00006</t>
        </is>
      </c>
      <c r="F21" s="3">
        <f>_xlfn.XLOOKUP(Table1[[#This Row],[Code Frs]],'CODE FRS'!B:B,'CODE FRS'!C:C)</f>
        <v/>
      </c>
      <c r="G21" s="2" t="inlineStr">
        <is>
          <t>BN9320RB/1254RB</t>
        </is>
      </c>
      <c r="H21" s="2" t="n">
        <v>198209181</v>
      </c>
      <c r="I21" s="2" t="n">
        <v>45</v>
      </c>
      <c r="J21" s="2" t="inlineStr">
        <is>
          <t>APROUVE</t>
        </is>
      </c>
      <c r="K21" s="2">
        <f>_xlfn.IFNA(_xlfn.XLOOKUP(Table1[[#This Row],[N° BC]],'Commandes Dechargees'!B:B,'Commandes Dechargees'!P:P),"EN ATTENTE DE DECHARGEMENT")</f>
        <v/>
      </c>
    </row>
    <row r="22" ht="25.5" customHeight="1">
      <c r="C22" s="1" t="n">
        <v>46247</v>
      </c>
      <c r="D22" s="2" t="inlineStr">
        <is>
          <t>0018-BC-SHEA/NAP-2026</t>
        </is>
      </c>
      <c r="E22" s="2" t="inlineStr">
        <is>
          <t>FRS00006</t>
        </is>
      </c>
      <c r="F22" s="3">
        <f>_xlfn.XLOOKUP(Table1[[#This Row],[Code Frs]],'CODE FRS'!B:B,'CODE FRS'!C:C)</f>
        <v/>
      </c>
      <c r="G22" s="2" t="inlineStr">
        <is>
          <t>CA0713RB/BH0362RB</t>
        </is>
      </c>
      <c r="H22" s="2" t="n">
        <v>193946883</v>
      </c>
      <c r="I22" s="2" t="n">
        <v>45</v>
      </c>
      <c r="J22" s="2" t="inlineStr">
        <is>
          <t>APROUVE</t>
        </is>
      </c>
      <c r="K22" s="2">
        <f>_xlfn.IFNA(_xlfn.XLOOKUP(Table1[[#This Row],[N° BC]],'Commandes Dechargees'!B:B,'Commandes Dechargees'!P:P),"EN ATTENTE DE DECHARGEMENT")</f>
        <v/>
      </c>
    </row>
    <row r="23" ht="25.5" customHeight="1">
      <c r="C23" s="1" t="n">
        <v>46247</v>
      </c>
      <c r="D23" s="2" t="inlineStr">
        <is>
          <t>0019-BC-SHEA/NAP-2026</t>
        </is>
      </c>
      <c r="E23" s="2" t="inlineStr">
        <is>
          <t>FRS00007</t>
        </is>
      </c>
      <c r="F23" s="3">
        <f>_xlfn.XLOOKUP(Table1[[#This Row],[Code Frs]],'CODE FRS'!B:B,'CODE FRS'!C:C)</f>
        <v/>
      </c>
      <c r="G23" s="2" t="inlineStr">
        <is>
          <t>CK9046RB/CB6301RB</t>
        </is>
      </c>
      <c r="H23" s="2" t="n">
        <v>196562615</v>
      </c>
      <c r="I23" s="2" t="n">
        <v>50</v>
      </c>
      <c r="J23" s="2" t="inlineStr">
        <is>
          <t>REJETE</t>
        </is>
      </c>
      <c r="K23" s="2" t="inlineStr">
        <is>
          <t>REJETE</t>
        </is>
      </c>
    </row>
    <row r="24" ht="25.5" customHeight="1">
      <c r="C24" s="1" t="n">
        <v>46247</v>
      </c>
      <c r="D24" s="2" t="inlineStr">
        <is>
          <t>0020-BC-SHEA/NAP-2026</t>
        </is>
      </c>
      <c r="E24" s="2" t="inlineStr">
        <is>
          <t>FRS00007</t>
        </is>
      </c>
      <c r="F24" s="3">
        <f>_xlfn.XLOOKUP(Table1[[#This Row],[Code Frs]],'CODE FRS'!B:B,'CODE FRS'!C:C)</f>
        <v/>
      </c>
      <c r="G24" s="2" t="inlineStr">
        <is>
          <t>BS4562RB/AY6037RB</t>
        </is>
      </c>
      <c r="H24" s="2" t="n">
        <v>197703410</v>
      </c>
      <c r="I24" s="2" t="n">
        <v>50</v>
      </c>
      <c r="J24" s="2" t="inlineStr">
        <is>
          <t>REJETE</t>
        </is>
      </c>
      <c r="K24" s="2" t="inlineStr">
        <is>
          <t>REJETE</t>
        </is>
      </c>
    </row>
    <row r="25" ht="25.5" customHeight="1">
      <c r="C25" s="1" t="n">
        <v>46247</v>
      </c>
      <c r="D25" s="2" t="inlineStr">
        <is>
          <t>0021-BC-SHEA/NAP-2026</t>
        </is>
      </c>
      <c r="E25" s="2" t="inlineStr">
        <is>
          <t>FRS00001</t>
        </is>
      </c>
      <c r="F25" s="3">
        <f>_xlfn.XLOOKUP(Table1[[#This Row],[Code Frs]],'CODE FRS'!B:B,'CODE FRS'!C:C)</f>
        <v/>
      </c>
      <c r="G25" s="2" t="inlineStr">
        <is>
          <t>CB6228RB/CC4818RB</t>
        </is>
      </c>
      <c r="H25" s="2" t="inlineStr">
        <is>
          <t>-</t>
        </is>
      </c>
      <c r="I25" s="2" t="n">
        <v>50</v>
      </c>
      <c r="J25" s="2" t="inlineStr">
        <is>
          <t>APROUVE</t>
        </is>
      </c>
      <c r="K25" s="2">
        <f>_xlfn.IFNA(_xlfn.XLOOKUP(Table1[[#This Row],[N° BC]],'Commandes Dechargees'!B:B,'Commandes Dechargees'!P:P),"EN ATTENTE DE DECHARGEMENT")</f>
        <v/>
      </c>
    </row>
    <row r="26" ht="25.5" customHeight="1">
      <c r="C26" s="1" t="n">
        <v>46248</v>
      </c>
      <c r="D26" s="2" t="inlineStr">
        <is>
          <t>0022-BC-SHEA/NAP-2026</t>
        </is>
      </c>
      <c r="E26" s="2" t="inlineStr">
        <is>
          <t>FRS00009</t>
        </is>
      </c>
      <c r="F26" s="3">
        <f>_xlfn.XLOOKUP(Table1[[#This Row],[Code Frs]],'CODE FRS'!B:B,'CODE FRS'!C:C)</f>
        <v/>
      </c>
      <c r="G26" s="2" t="inlineStr">
        <is>
          <t>BB9793RB/BD3472RB</t>
        </is>
      </c>
      <c r="H26" s="2" t="n">
        <v>197114423</v>
      </c>
      <c r="I26" s="2" t="n">
        <v>50</v>
      </c>
      <c r="J26" s="2" t="inlineStr">
        <is>
          <t>APROUVE</t>
        </is>
      </c>
      <c r="K26" s="2">
        <f>_xlfn.IFNA(_xlfn.XLOOKUP(Table1[[#This Row],[N° BC]],'Commandes Dechargees'!B:B,'Commandes Dechargees'!P:P),"EN ATTENTE DE DECHARGEMENT")</f>
        <v/>
      </c>
    </row>
    <row r="27" ht="25.5" customHeight="1">
      <c r="C27" s="1" t="n">
        <v>46248</v>
      </c>
      <c r="D27" s="2" t="inlineStr">
        <is>
          <t>0023-BC-SHEA/NAP-2026</t>
        </is>
      </c>
      <c r="E27" s="2" t="inlineStr">
        <is>
          <t>FRS00010</t>
        </is>
      </c>
      <c r="F27" s="3">
        <f>_xlfn.XLOOKUP(Table1[[#This Row],[Code Frs]],'CODE FRS'!B:B,'CODE FRS'!C:C)</f>
        <v/>
      </c>
      <c r="G27" s="2" t="inlineStr">
        <is>
          <t>BR9516RB/BD8968RB</t>
        </is>
      </c>
      <c r="H27" s="2" t="n">
        <v>162835009</v>
      </c>
      <c r="I27" s="2" t="n">
        <v>40</v>
      </c>
      <c r="J27" s="2" t="inlineStr">
        <is>
          <t>EN ATTENTE</t>
        </is>
      </c>
      <c r="K27" s="2">
        <f>_xlfn.IFNA(_xlfn.XLOOKUP(Table1[[#This Row],[N° BC]],'Commandes Dechargees'!B:B,'Commandes Dechargees'!P:P),"EN ATTENTE DE DECHARGEMENT")</f>
        <v/>
      </c>
    </row>
    <row r="28" ht="25.5" customHeight="1">
      <c r="C28" s="1" t="n">
        <v>46248</v>
      </c>
      <c r="D28" s="2" t="inlineStr">
        <is>
          <t>0024-BC-SHEA/NAP-2026</t>
        </is>
      </c>
      <c r="E28" s="2" t="inlineStr">
        <is>
          <t>FRS00011</t>
        </is>
      </c>
      <c r="F28" s="3">
        <f>_xlfn.XLOOKUP(Table1[[#This Row],[Code Frs]],'CODE FRS'!B:B,'CODE FRS'!C:C)</f>
        <v/>
      </c>
      <c r="G28" s="2" t="inlineStr">
        <is>
          <t>BY2229RB/BD4807RB</t>
        </is>
      </c>
      <c r="H28" s="2" t="n">
        <v>140861444</v>
      </c>
      <c r="I28" s="2" t="n">
        <v>50</v>
      </c>
      <c r="J28" s="2" t="inlineStr">
        <is>
          <t>REJETE</t>
        </is>
      </c>
      <c r="K28" s="2" t="inlineStr">
        <is>
          <t>REJETE</t>
        </is>
      </c>
    </row>
    <row r="29" ht="25.5" customHeight="1">
      <c r="C29" s="1" t="n">
        <v>46248</v>
      </c>
      <c r="D29" s="2" t="inlineStr">
        <is>
          <t>0025-BC-SHEA/NAP-2026</t>
        </is>
      </c>
      <c r="E29" s="2" t="inlineStr">
        <is>
          <t>FRS00012</t>
        </is>
      </c>
      <c r="F29" s="3">
        <f>_xlfn.XLOOKUP(Table1[[#This Row],[Code Frs]],'CODE FRS'!B:B,'CODE FRS'!C:C)</f>
        <v/>
      </c>
      <c r="G29" s="2" t="inlineStr">
        <is>
          <t>CF7090RB/AZ1276RB</t>
        </is>
      </c>
      <c r="H29" s="2" t="n">
        <v>197365988</v>
      </c>
      <c r="I29" s="2" t="n">
        <v>45</v>
      </c>
      <c r="J29" s="2" t="inlineStr">
        <is>
          <t>ANNULE</t>
        </is>
      </c>
      <c r="K29" s="2">
        <f>_xlfn.IFNA(_xlfn.XLOOKUP(Table1[[#This Row],[N° BC]],'Commandes Dechargees'!B:B,'Commandes Dechargees'!P:P),"EN ATTENTE DE DECHARGEMENT")</f>
        <v/>
      </c>
    </row>
    <row r="30" ht="25.5" customHeight="1">
      <c r="C30" s="1" t="n">
        <v>46248</v>
      </c>
      <c r="D30" s="2" t="inlineStr">
        <is>
          <t>0026-BC-SHEA/NAP-2026</t>
        </is>
      </c>
      <c r="E30" s="2" t="inlineStr">
        <is>
          <t>FRS00001</t>
        </is>
      </c>
      <c r="F30" s="3">
        <f>_xlfn.XLOOKUP(Table1[[#This Row],[Code Frs]],'CODE FRS'!B:B,'CODE FRS'!C:C)</f>
        <v/>
      </c>
      <c r="G30" s="2" t="inlineStr">
        <is>
          <t xml:space="preserve"> CG9072RB/CC4676RB</t>
        </is>
      </c>
      <c r="H30" s="2" t="n">
        <v>141192392</v>
      </c>
      <c r="I30" s="2" t="n">
        <v>35</v>
      </c>
      <c r="J30" s="2" t="inlineStr">
        <is>
          <t>APROUVE</t>
        </is>
      </c>
      <c r="K30" s="2">
        <f>_xlfn.IFNA(_xlfn.XLOOKUP(Table1[[#This Row],[N° BC]],'Commandes Dechargees'!B:B,'Commandes Dechargees'!P:P),"EN ATTENTE DE DECHARGEMENT")</f>
        <v/>
      </c>
    </row>
    <row r="31" ht="25.5" customHeight="1">
      <c r="C31" s="1" t="n">
        <v>46248</v>
      </c>
      <c r="D31" s="2" t="inlineStr">
        <is>
          <t>0027-BC-SHEA/NAP-2026</t>
        </is>
      </c>
      <c r="E31" s="2" t="inlineStr">
        <is>
          <t>FRS00013</t>
        </is>
      </c>
      <c r="F31" s="3">
        <f>_xlfn.XLOOKUP(Table1[[#This Row],[Code Frs]],'CODE FRS'!B:B,'CODE FRS'!C:C)</f>
        <v/>
      </c>
      <c r="G31" s="2" t="inlineStr">
        <is>
          <t>BA0693RB/BG9156RB</t>
        </is>
      </c>
      <c r="H31" s="2" t="n">
        <v>162765372</v>
      </c>
      <c r="I31" s="2" t="n">
        <v>45</v>
      </c>
      <c r="J31" s="2" t="inlineStr">
        <is>
          <t>APROUVE</t>
        </is>
      </c>
      <c r="K31" s="2">
        <f>_xlfn.IFNA(_xlfn.XLOOKUP(Table1[[#This Row],[N° BC]],'Commandes Dechargees'!B:B,'Commandes Dechargees'!P:P),"EN ATTENTE DE DECHARGEMENT")</f>
        <v/>
      </c>
    </row>
    <row r="32" ht="25.5" customHeight="1">
      <c r="C32" s="1" t="n">
        <v>46248</v>
      </c>
      <c r="D32" s="2" t="inlineStr">
        <is>
          <t>0028-BC-SHEA/NAP-2026</t>
        </is>
      </c>
      <c r="E32" s="2" t="inlineStr">
        <is>
          <t>FRS00003</t>
        </is>
      </c>
      <c r="F32" s="3">
        <f>_xlfn.XLOOKUP(Table1[[#This Row],[Code Frs]],'CODE FRS'!B:B,'CODE FRS'!C:C)</f>
        <v/>
      </c>
      <c r="G32" s="2" t="inlineStr">
        <is>
          <t>BS9080RB/BB2652RB</t>
        </is>
      </c>
      <c r="H32" s="2" t="n">
        <v>163435902</v>
      </c>
      <c r="I32" s="2" t="n">
        <v>50</v>
      </c>
      <c r="J32" s="2" t="inlineStr">
        <is>
          <t>REJETE</t>
        </is>
      </c>
      <c r="K32" s="2" t="inlineStr">
        <is>
          <t>REJETE</t>
        </is>
      </c>
    </row>
    <row r="33" ht="25.5" customHeight="1">
      <c r="C33" s="1" t="n">
        <v>46248</v>
      </c>
      <c r="D33" s="2" t="inlineStr">
        <is>
          <t>0029-BC-SHEA/NAP-2026</t>
        </is>
      </c>
      <c r="E33" s="2" t="inlineStr">
        <is>
          <t>FRS00009</t>
        </is>
      </c>
      <c r="F33" s="3">
        <f>_xlfn.XLOOKUP(Table1[[#This Row],[Code Frs]],'CODE FRS'!B:B,'CODE FRS'!C:C)</f>
        <v/>
      </c>
      <c r="G33" s="2" t="inlineStr">
        <is>
          <t>BX9971RB</t>
        </is>
      </c>
      <c r="H33" s="2" t="n">
        <v>197291416</v>
      </c>
      <c r="I33" s="2" t="n">
        <v>50</v>
      </c>
      <c r="J33" s="2" t="inlineStr">
        <is>
          <t>REJETE</t>
        </is>
      </c>
      <c r="K33" s="2" t="inlineStr">
        <is>
          <t>REJETE</t>
        </is>
      </c>
    </row>
    <row r="34" ht="25.5" customHeight="1">
      <c r="C34" s="1" t="n">
        <v>46248</v>
      </c>
      <c r="D34" s="2" t="inlineStr">
        <is>
          <t>0030-BC-SHEA/NAP-2026</t>
        </is>
      </c>
      <c r="E34" s="2" t="inlineStr">
        <is>
          <t>FRS00009</t>
        </is>
      </c>
      <c r="F34" s="3">
        <f>_xlfn.XLOOKUP(Table1[[#This Row],[Code Frs]],'CODE FRS'!B:B,'CODE FRS'!C:C)</f>
        <v/>
      </c>
      <c r="G34" s="2" t="inlineStr">
        <is>
          <t>BA8553RB/BB0493RB</t>
        </is>
      </c>
      <c r="H34" s="2" t="n">
        <v>167127112</v>
      </c>
      <c r="I34" s="2" t="n">
        <v>50</v>
      </c>
      <c r="J34" s="2" t="inlineStr">
        <is>
          <t>REJETE</t>
        </is>
      </c>
      <c r="K34" s="2" t="inlineStr">
        <is>
          <t>REJETE</t>
        </is>
      </c>
    </row>
    <row r="35" ht="25.5" customHeight="1">
      <c r="C35" s="1" t="n">
        <v>46249</v>
      </c>
      <c r="D35" s="2" t="inlineStr">
        <is>
          <t>0031-BC-SHEA/NAP-2026</t>
        </is>
      </c>
      <c r="E35" s="2" t="inlineStr">
        <is>
          <t>FRS00014</t>
        </is>
      </c>
      <c r="F35" s="3">
        <f>_xlfn.XLOOKUP(Table1[[#This Row],[Code Frs]],'CODE FRS'!B:B,'CODE FRS'!C:C)</f>
        <v/>
      </c>
      <c r="G35" s="2" t="inlineStr">
        <is>
          <t>BS4324RB /4374RB</t>
        </is>
      </c>
      <c r="H35" s="2" t="n">
        <v>194304813</v>
      </c>
      <c r="I35" s="2" t="n">
        <v>55</v>
      </c>
      <c r="J35" s="2" t="inlineStr">
        <is>
          <t>EN ATTENTE</t>
        </is>
      </c>
      <c r="K35" s="2">
        <f>_xlfn.IFNA(_xlfn.XLOOKUP(Table1[[#This Row],[N° BC]],'Commandes Dechargees'!B:B,'Commandes Dechargees'!P:P),"EN ATTENTE DE DECHARGEMENT")</f>
        <v/>
      </c>
    </row>
    <row r="36" ht="25.5" customHeight="1">
      <c r="C36" s="1" t="n">
        <v>46249</v>
      </c>
      <c r="D36" s="2" t="inlineStr">
        <is>
          <t>0032-BC-SHEA/NAP-2026</t>
        </is>
      </c>
      <c r="E36" s="2" t="inlineStr">
        <is>
          <t>FRS00015</t>
        </is>
      </c>
      <c r="F36" s="3">
        <f>_xlfn.XLOOKUP(Table1[[#This Row],[Code Frs]],'CODE FRS'!B:B,'CODE FRS'!C:C)</f>
        <v/>
      </c>
      <c r="G36" s="2" t="inlineStr">
        <is>
          <t>AY3969RB/AD0138RB</t>
        </is>
      </c>
      <c r="H36" s="2" t="n">
        <v>143756265</v>
      </c>
      <c r="I36" s="2" t="n">
        <v>50</v>
      </c>
      <c r="J36" s="2" t="inlineStr">
        <is>
          <t>APROUVE</t>
        </is>
      </c>
      <c r="K36" s="2">
        <f>_xlfn.IFNA(_xlfn.XLOOKUP(Table1[[#This Row],[N° BC]],'Commandes Dechargees'!B:B,'Commandes Dechargees'!P:P),"EN ATTENTE DE DECHARGEMENT")</f>
        <v/>
      </c>
    </row>
    <row r="37" ht="25.5" customHeight="1">
      <c r="C37" s="1" t="n">
        <v>46249</v>
      </c>
      <c r="D37" s="2" t="inlineStr">
        <is>
          <t>0033-BC-SHEA/NAP-2026</t>
        </is>
      </c>
      <c r="E37" s="2" t="inlineStr">
        <is>
          <t>FRS00016</t>
        </is>
      </c>
      <c r="F37" s="3">
        <f>_xlfn.XLOOKUP(Table1[[#This Row],[Code Frs]],'CODE FRS'!B:B,'CODE FRS'!C:C)</f>
        <v/>
      </c>
      <c r="G37" s="2" t="inlineStr">
        <is>
          <t>AP7150RB/AL0466RB</t>
        </is>
      </c>
      <c r="H37" s="2" t="inlineStr">
        <is>
          <t xml:space="preserve"> 0197436870 ET 0141422926</t>
        </is>
      </c>
      <c r="I37" s="2" t="n">
        <v>50</v>
      </c>
      <c r="J37" s="2" t="inlineStr">
        <is>
          <t>APROUVE</t>
        </is>
      </c>
      <c r="K37" s="2">
        <f>_xlfn.IFNA(_xlfn.XLOOKUP(Table1[[#This Row],[N° BC]],'Commandes Dechargees'!B:B,'Commandes Dechargees'!P:P),"EN ATTENTE DE DECHARGEMENT")</f>
        <v/>
      </c>
    </row>
    <row r="38" ht="25.5" customHeight="1">
      <c r="C38" s="1" t="n">
        <v>46249</v>
      </c>
      <c r="D38" s="2" t="inlineStr">
        <is>
          <t>0034-BC-SHEA/NAP-2026</t>
        </is>
      </c>
      <c r="E38" s="2" t="inlineStr">
        <is>
          <t>FRS00012</t>
        </is>
      </c>
      <c r="F38" s="3">
        <f>_xlfn.XLOOKUP(Table1[[#This Row],[Code Frs]],'CODE FRS'!B:B,'CODE FRS'!C:C)</f>
        <v/>
      </c>
      <c r="G38" s="2" t="inlineStr">
        <is>
          <t>AZ8985RB/AN0577RB</t>
        </is>
      </c>
      <c r="H38" s="2" t="n">
        <v>197760647</v>
      </c>
      <c r="I38" s="2" t="n">
        <v>45</v>
      </c>
      <c r="J38" s="2" t="inlineStr">
        <is>
          <t>REJETE</t>
        </is>
      </c>
      <c r="K38" s="2" t="inlineStr">
        <is>
          <t>REJETE</t>
        </is>
      </c>
    </row>
    <row r="39" ht="25.5" customHeight="1">
      <c r="C39" s="1" t="n">
        <v>46249</v>
      </c>
      <c r="D39" s="2" t="inlineStr">
        <is>
          <t>0035-BC-SHEA/NAP-2026</t>
        </is>
      </c>
      <c r="E39" s="2" t="inlineStr">
        <is>
          <t>FRS00011</t>
        </is>
      </c>
      <c r="F39" s="3">
        <f>_xlfn.XLOOKUP(Table1[[#This Row],[Code Frs]],'CODE FRS'!B:B,'CODE FRS'!C:C)</f>
        <v/>
      </c>
      <c r="G39" s="2" t="inlineStr">
        <is>
          <t>BU9958RB/AL0499RB</t>
        </is>
      </c>
      <c r="H39" s="2" t="inlineStr">
        <is>
          <t>01 97502513 ET 0144635683</t>
        </is>
      </c>
      <c r="I39" s="2" t="n">
        <v>50</v>
      </c>
      <c r="J39" s="2" t="inlineStr">
        <is>
          <t>REJETE</t>
        </is>
      </c>
      <c r="K39" s="2" t="inlineStr">
        <is>
          <t>REJETE</t>
        </is>
      </c>
    </row>
    <row r="40" ht="25.5" customHeight="1">
      <c r="C40" s="1" t="n">
        <v>46249</v>
      </c>
      <c r="D40" s="2" t="inlineStr">
        <is>
          <t>0036-BC-SHEA/NAP-2026</t>
        </is>
      </c>
      <c r="E40" s="2" t="inlineStr">
        <is>
          <t>FRS00011</t>
        </is>
      </c>
      <c r="F40" s="3">
        <f>_xlfn.XLOOKUP(Table1[[#This Row],[Code Frs]],'CODE FRS'!B:B,'CODE FRS'!C:C)</f>
        <v/>
      </c>
      <c r="G40" s="2" t="inlineStr">
        <is>
          <t>CE6743RB/CC9634RB</t>
        </is>
      </c>
      <c r="H40" s="2" t="inlineStr">
        <is>
          <t>01 97502513 ET 0151084124</t>
        </is>
      </c>
      <c r="I40" s="2" t="n">
        <v>50</v>
      </c>
      <c r="J40" s="2" t="inlineStr">
        <is>
          <t>EN ATTENTE</t>
        </is>
      </c>
      <c r="K40" s="2">
        <f>_xlfn.IFNA(_xlfn.XLOOKUP(Table1[[#This Row],[N° BC]],'Commandes Dechargees'!B:B,'Commandes Dechargees'!P:P),"EN ATTENTE DE DECHARGEMENT")</f>
        <v/>
      </c>
    </row>
    <row r="41" ht="25.5" customHeight="1">
      <c r="C41" s="1" t="n">
        <v>46249</v>
      </c>
      <c r="D41" s="2" t="inlineStr">
        <is>
          <t>0037-BC-SHEA/NAP-2026</t>
        </is>
      </c>
      <c r="E41" s="2" t="inlineStr">
        <is>
          <t>FRS00011</t>
        </is>
      </c>
      <c r="F41" s="3">
        <f>_xlfn.XLOOKUP(Table1[[#This Row],[Code Frs]],'CODE FRS'!B:B,'CODE FRS'!C:C)</f>
        <v/>
      </c>
      <c r="G41" s="2" t="inlineStr">
        <is>
          <t>CC2786RB/AT7647RB</t>
        </is>
      </c>
      <c r="H41" s="2" t="inlineStr">
        <is>
          <t>01 97502513 ET 0159551025</t>
        </is>
      </c>
      <c r="I41" s="2" t="n">
        <v>51</v>
      </c>
      <c r="J41" s="2" t="inlineStr">
        <is>
          <t>ANNULE</t>
        </is>
      </c>
      <c r="K41" s="2">
        <f>_xlfn.IFNA(_xlfn.XLOOKUP(Table1[[#This Row],[N° BC]],'Commandes Dechargees'!B:B,'Commandes Dechargees'!P:P),"EN ATTENTE DE DECHARGEMENT")</f>
        <v/>
      </c>
    </row>
    <row r="42" ht="25.5" customHeight="1">
      <c r="C42" s="1" t="n">
        <v>46249</v>
      </c>
      <c r="D42" s="2" t="inlineStr">
        <is>
          <t>0038-BC-SHEA/NAP-2026</t>
        </is>
      </c>
      <c r="E42" s="2" t="inlineStr">
        <is>
          <t>FRS00001</t>
        </is>
      </c>
      <c r="F42" s="3">
        <f>_xlfn.XLOOKUP(Table1[[#This Row],[Code Frs]],'CODE FRS'!B:B,'CODE FRS'!C:C)</f>
        <v/>
      </c>
      <c r="G42" s="2" t="inlineStr">
        <is>
          <t>CJ4249RB/AU9045RB</t>
        </is>
      </c>
      <c r="H42" s="2" t="inlineStr">
        <is>
          <t>0195036013 ET 0196902499</t>
        </is>
      </c>
      <c r="I42" s="2" t="n">
        <v>50</v>
      </c>
      <c r="J42" s="2" t="inlineStr">
        <is>
          <t>EN ATTENTE</t>
        </is>
      </c>
      <c r="K42" s="2">
        <f>_xlfn.IFNA(_xlfn.XLOOKUP(Table1[[#This Row],[N° BC]],'Commandes Dechargees'!B:B,'Commandes Dechargees'!P:P),"EN ATTENTE DE DECHARGEMENT")</f>
        <v/>
      </c>
    </row>
    <row r="43" ht="25.5" customHeight="1">
      <c r="C43" s="1" t="n">
        <v>46249</v>
      </c>
      <c r="D43" s="2" t="inlineStr">
        <is>
          <t>0039-BC-SHEA/NAP-2026</t>
        </is>
      </c>
      <c r="E43" s="2" t="inlineStr">
        <is>
          <t>FRS00017</t>
        </is>
      </c>
      <c r="F43" s="3">
        <f>_xlfn.XLOOKUP(Table1[[#This Row],[Code Frs]],'CODE FRS'!B:B,'CODE FRS'!C:C)</f>
        <v/>
      </c>
      <c r="G43" s="2" t="inlineStr">
        <is>
          <t>CB2032RB/CB1943RB</t>
        </is>
      </c>
      <c r="H43" s="2" t="n">
        <v>195501197</v>
      </c>
      <c r="I43" s="2" t="n">
        <v>35</v>
      </c>
      <c r="J43" s="2" t="inlineStr">
        <is>
          <t>APROUVE</t>
        </is>
      </c>
      <c r="K43" s="2">
        <f>_xlfn.IFNA(_xlfn.XLOOKUP(Table1[[#This Row],[N° BC]],'Commandes Dechargees'!B:B,'Commandes Dechargees'!P:P),"EN ATTENTE DE DECHARGEMENT")</f>
        <v/>
      </c>
    </row>
    <row r="44" ht="25.5" customHeight="1">
      <c r="C44" s="1" t="n">
        <v>46251</v>
      </c>
      <c r="D44" s="2" t="inlineStr">
        <is>
          <t>0040-BC-SHEA/NAP-2026</t>
        </is>
      </c>
      <c r="E44" s="2" t="inlineStr">
        <is>
          <t>FRS00018</t>
        </is>
      </c>
      <c r="F44" s="3">
        <f>_xlfn.XLOOKUP(Table1[[#This Row],[Code Frs]],'CODE FRS'!B:B,'CODE FRS'!C:C)</f>
        <v/>
      </c>
      <c r="G44" s="2" t="inlineStr">
        <is>
          <t xml:space="preserve"> CC2368RB/BP2534RB</t>
        </is>
      </c>
      <c r="H44" s="2" t="n">
        <v>196657698</v>
      </c>
      <c r="I44" s="2" t="n">
        <v>50</v>
      </c>
      <c r="J44" s="2" t="inlineStr">
        <is>
          <t>REJETE</t>
        </is>
      </c>
      <c r="K44" s="2" t="inlineStr">
        <is>
          <t>REJETE</t>
        </is>
      </c>
    </row>
    <row r="45" ht="25.5" customHeight="1">
      <c r="C45" s="1" t="n">
        <v>46251</v>
      </c>
      <c r="D45" s="2" t="inlineStr">
        <is>
          <t>0041-BC-SHEA/NAP-2026</t>
        </is>
      </c>
      <c r="E45" s="2" t="inlineStr">
        <is>
          <t>FRS00003</t>
        </is>
      </c>
      <c r="F45" s="3">
        <f>_xlfn.XLOOKUP(Table1[[#This Row],[Code Frs]],'CODE FRS'!B:B,'CODE FRS'!C:C)</f>
        <v/>
      </c>
      <c r="G45" s="2" t="inlineStr">
        <is>
          <t>BP4509RB/AV2192RB</t>
        </is>
      </c>
      <c r="H45" s="2" t="n">
        <v>197491513</v>
      </c>
      <c r="I45" s="2" t="n">
        <v>50</v>
      </c>
      <c r="J45" s="2" t="inlineStr">
        <is>
          <t>APROUVE</t>
        </is>
      </c>
      <c r="K45" s="2">
        <f>_xlfn.IFNA(_xlfn.XLOOKUP(Table1[[#This Row],[N° BC]],'Commandes Dechargees'!B:B,'Commandes Dechargees'!P:P),"EN ATTENTE DE DECHARGEMENT")</f>
        <v/>
      </c>
    </row>
    <row r="46" ht="25.5" customHeight="1">
      <c r="C46" s="1" t="n">
        <v>46251</v>
      </c>
      <c r="D46" s="2" t="inlineStr">
        <is>
          <t>0042-BC-SHEA/NAP-2026</t>
        </is>
      </c>
      <c r="E46" s="2" t="inlineStr">
        <is>
          <t>FRS00003</t>
        </is>
      </c>
      <c r="F46" s="3">
        <f>_xlfn.XLOOKUP(Table1[[#This Row],[Code Frs]],'CODE FRS'!B:B,'CODE FRS'!C:C)</f>
        <v/>
      </c>
      <c r="G46" s="2" t="inlineStr">
        <is>
          <t>AT8153RB/BN3081RB</t>
        </is>
      </c>
      <c r="H46" s="2" t="n">
        <v>166359660</v>
      </c>
      <c r="I46" s="2" t="n">
        <v>45</v>
      </c>
      <c r="J46" s="2" t="inlineStr">
        <is>
          <t>APROUVE</t>
        </is>
      </c>
      <c r="K46" s="2">
        <f>_xlfn.IFNA(_xlfn.XLOOKUP(Table1[[#This Row],[N° BC]],'Commandes Dechargees'!B:B,'Commandes Dechargees'!P:P),"EN ATTENTE DE DECHARGEMENT")</f>
        <v/>
      </c>
    </row>
    <row r="47" ht="25.5" customHeight="1">
      <c r="C47" s="1" t="n">
        <v>46251</v>
      </c>
      <c r="D47" s="2" t="inlineStr">
        <is>
          <t>0043-BC-SHEA/NAP-2026</t>
        </is>
      </c>
      <c r="E47" s="2" t="inlineStr">
        <is>
          <t>FRS00003</t>
        </is>
      </c>
      <c r="F47" s="3">
        <f>_xlfn.XLOOKUP(Table1[[#This Row],[Code Frs]],'CODE FRS'!B:B,'CODE FRS'!C:C)</f>
        <v/>
      </c>
      <c r="G47" s="2" t="inlineStr">
        <is>
          <t>BY1669RB/BY1665RB</t>
        </is>
      </c>
      <c r="H47" s="2" t="inlineStr">
        <is>
          <t>-</t>
        </is>
      </c>
      <c r="I47" s="2" t="n">
        <v>45</v>
      </c>
      <c r="J47" s="2" t="inlineStr">
        <is>
          <t>APROUVE</t>
        </is>
      </c>
      <c r="K47" s="2">
        <f>_xlfn.IFNA(_xlfn.XLOOKUP(Table1[[#This Row],[N° BC]],'Commandes Dechargees'!B:B,'Commandes Dechargees'!P:P),"EN ATTENTE DE DECHARGEMENT")</f>
        <v/>
      </c>
    </row>
    <row r="48" ht="25.5" customHeight="1">
      <c r="C48" s="1" t="n">
        <v>46251</v>
      </c>
      <c r="D48" s="2" t="inlineStr">
        <is>
          <t>0044-BC-SHEA/NAP-2026</t>
        </is>
      </c>
      <c r="E48" s="2" t="inlineStr">
        <is>
          <t>FRS00011</t>
        </is>
      </c>
      <c r="F48" s="3">
        <f>_xlfn.XLOOKUP(Table1[[#This Row],[Code Frs]],'CODE FRS'!B:B,'CODE FRS'!C:C)</f>
        <v/>
      </c>
      <c r="G48" s="2" t="inlineStr">
        <is>
          <t>CB6370RB/ BY4656RB</t>
        </is>
      </c>
      <c r="H48" s="2" t="n">
        <v>196902628</v>
      </c>
      <c r="I48" s="2" t="n">
        <v>50</v>
      </c>
      <c r="J48" s="2" t="inlineStr">
        <is>
          <t>ANNULE</t>
        </is>
      </c>
      <c r="K48" s="2">
        <f>_xlfn.IFNA(_xlfn.XLOOKUP(Table1[[#This Row],[N° BC]],'Commandes Dechargees'!B:B,'Commandes Dechargees'!P:P),"EN ATTENTE DE DECHARGEMENT")</f>
        <v/>
      </c>
    </row>
    <row r="49" ht="25.5" customHeight="1">
      <c r="C49" s="1" t="n">
        <v>46251</v>
      </c>
      <c r="D49" s="2" t="inlineStr">
        <is>
          <t>0045-BC-SHEA/NAP-2026</t>
        </is>
      </c>
      <c r="E49" s="2" t="inlineStr">
        <is>
          <t>FRS00011</t>
        </is>
      </c>
      <c r="F49" s="3">
        <f>_xlfn.XLOOKUP(Table1[[#This Row],[Code Frs]],'CODE FRS'!B:B,'CODE FRS'!C:C)</f>
        <v/>
      </c>
      <c r="G49" s="2" t="inlineStr">
        <is>
          <t>CL0201RB/CJ8154RB</t>
        </is>
      </c>
      <c r="H49" s="2" t="n">
        <v>161741332</v>
      </c>
      <c r="I49" s="2" t="n">
        <v>50</v>
      </c>
      <c r="J49" s="2" t="inlineStr">
        <is>
          <t>APROUVE</t>
        </is>
      </c>
      <c r="K49" s="2">
        <f>_xlfn.IFNA(_xlfn.XLOOKUP(Table1[[#This Row],[N° BC]],'Commandes Dechargees'!B:B,'Commandes Dechargees'!P:P),"EN ATTENTE DE DECHARGEMENT")</f>
        <v/>
      </c>
    </row>
    <row r="50" ht="25.5" customHeight="1">
      <c r="C50" s="1" t="n">
        <v>46251</v>
      </c>
      <c r="D50" s="2" t="inlineStr">
        <is>
          <t>0046-BC-SHEA/NAP-2026</t>
        </is>
      </c>
      <c r="E50" s="2" t="inlineStr">
        <is>
          <t>FRS00003</t>
        </is>
      </c>
      <c r="F50" s="3">
        <f>_xlfn.XLOOKUP(Table1[[#This Row],[Code Frs]],'CODE FRS'!B:B,'CODE FRS'!C:C)</f>
        <v/>
      </c>
      <c r="G50" s="2" t="inlineStr">
        <is>
          <t>BU0599RB/BC0599RB</t>
        </is>
      </c>
      <c r="H50" s="2" t="n">
        <v>160177879</v>
      </c>
      <c r="I50" s="2" t="n">
        <v>50</v>
      </c>
      <c r="J50" s="2" t="inlineStr">
        <is>
          <t>APROUVE</t>
        </is>
      </c>
      <c r="K50" s="2">
        <f>_xlfn.IFNA(_xlfn.XLOOKUP(Table1[[#This Row],[N° BC]],'Commandes Dechargees'!B:B,'Commandes Dechargees'!P:P),"EN ATTENTE DE DECHARGEMENT")</f>
        <v/>
      </c>
    </row>
    <row r="51" ht="25.5" customHeight="1">
      <c r="C51" s="1" t="n">
        <v>46251</v>
      </c>
      <c r="D51" s="2" t="inlineStr">
        <is>
          <t>0047-BC-SHEA/NAP-2026</t>
        </is>
      </c>
      <c r="E51" s="2" t="inlineStr">
        <is>
          <t>FRS00001</t>
        </is>
      </c>
      <c r="F51" s="3">
        <f>_xlfn.XLOOKUP(Table1[[#This Row],[Code Frs]],'CODE FRS'!B:B,'CODE FRS'!C:C)</f>
        <v/>
      </c>
      <c r="G51" s="2" t="inlineStr">
        <is>
          <t>CE7131RB/CE8609RB</t>
        </is>
      </c>
      <c r="H51" s="2" t="n">
        <v>152755334</v>
      </c>
      <c r="I51" s="2" t="n">
        <v>50</v>
      </c>
      <c r="J51" s="2" t="inlineStr">
        <is>
          <t>REJETE</t>
        </is>
      </c>
      <c r="K51" s="2" t="inlineStr">
        <is>
          <t>REJETE</t>
        </is>
      </c>
    </row>
    <row r="52" ht="25.5" customHeight="1">
      <c r="C52" s="1" t="n">
        <v>46251</v>
      </c>
      <c r="D52" s="2" t="inlineStr">
        <is>
          <t>0048-BC-SHEA/NAP-2026</t>
        </is>
      </c>
      <c r="E52" s="2" t="inlineStr">
        <is>
          <t>FRS00001</t>
        </is>
      </c>
      <c r="F52" s="3">
        <f>_xlfn.XLOOKUP(Table1[[#This Row],[Code Frs]],'CODE FRS'!B:B,'CODE FRS'!C:C)</f>
        <v/>
      </c>
      <c r="G52" s="2" t="inlineStr">
        <is>
          <t>CE6019RB/CE6020RB</t>
        </is>
      </c>
      <c r="H52" s="2" t="n">
        <v>194951894</v>
      </c>
      <c r="I52" s="2" t="n">
        <v>48</v>
      </c>
      <c r="J52" s="2" t="inlineStr">
        <is>
          <t>APROUVE</t>
        </is>
      </c>
      <c r="K52" s="2">
        <f>_xlfn.IFNA(_xlfn.XLOOKUP(Table1[[#This Row],[N° BC]],'Commandes Dechargees'!B:B,'Commandes Dechargees'!P:P),"EN ATTENTE DE DECHARGEMENT")</f>
        <v/>
      </c>
    </row>
    <row r="53" ht="25.5" customHeight="1">
      <c r="C53" s="1" t="n">
        <v>46251</v>
      </c>
      <c r="D53" s="2" t="inlineStr">
        <is>
          <t>0049-BC-SHEA/NAP-2026</t>
        </is>
      </c>
      <c r="E53" s="2" t="inlineStr">
        <is>
          <t>FRS00004</t>
        </is>
      </c>
      <c r="F53" s="3">
        <f>_xlfn.XLOOKUP(Table1[[#This Row],[Code Frs]],'CODE FRS'!B:B,'CODE FRS'!C:C)</f>
        <v/>
      </c>
      <c r="G53" s="2" t="inlineStr">
        <is>
          <t>CB6790RB/BT1547RB</t>
        </is>
      </c>
      <c r="H53" s="2" t="n">
        <v>162991973</v>
      </c>
      <c r="I53" s="2" t="n">
        <v>50</v>
      </c>
      <c r="J53" s="2" t="inlineStr">
        <is>
          <t>APROUVE</t>
        </is>
      </c>
      <c r="K53" s="2">
        <f>_xlfn.IFNA(_xlfn.XLOOKUP(Table1[[#This Row],[N° BC]],'Commandes Dechargees'!B:B,'Commandes Dechargees'!P:P),"EN ATTENTE DE DECHARGEMENT")</f>
        <v/>
      </c>
    </row>
    <row r="54" ht="25.5" customHeight="1">
      <c r="C54" s="1" t="n">
        <v>46251</v>
      </c>
      <c r="D54" s="2" t="inlineStr">
        <is>
          <t>0050-BC-SHEA/NAP-2026</t>
        </is>
      </c>
      <c r="E54" s="2" t="inlineStr">
        <is>
          <t>FRS00010</t>
        </is>
      </c>
      <c r="F54" s="3">
        <f>_xlfn.XLOOKUP(Table1[[#This Row],[Code Frs]],'CODE FRS'!B:B,'CODE FRS'!C:C)</f>
        <v/>
      </c>
      <c r="G54" s="2" t="inlineStr">
        <is>
          <t>BT0362RB/BT3698RB</t>
        </is>
      </c>
      <c r="H54" s="2" t="n">
        <v>167887501</v>
      </c>
      <c r="I54" s="2" t="n">
        <v>50</v>
      </c>
      <c r="J54" s="2" t="inlineStr">
        <is>
          <t>REJETE</t>
        </is>
      </c>
      <c r="K54" s="2" t="inlineStr">
        <is>
          <t>REJETE</t>
        </is>
      </c>
    </row>
    <row r="55" ht="25.5" customHeight="1">
      <c r="C55" s="1" t="n">
        <v>46252</v>
      </c>
      <c r="D55" s="2" t="inlineStr">
        <is>
          <t>0051-BC-SHEA/NAP-2026</t>
        </is>
      </c>
      <c r="E55" s="2" t="inlineStr">
        <is>
          <t>FRS00001</t>
        </is>
      </c>
      <c r="F55" s="3">
        <f>_xlfn.XLOOKUP(Table1[[#This Row],[Code Frs]],'CODE FRS'!B:B,'CODE FRS'!C:C)</f>
        <v/>
      </c>
      <c r="G55" s="2" t="inlineStr">
        <is>
          <t xml:space="preserve"> BY5570RB/BH1863RB</t>
        </is>
      </c>
      <c r="H55" s="2" t="n">
        <v>194499732</v>
      </c>
      <c r="I55" s="2" t="n">
        <v>50</v>
      </c>
      <c r="J55" s="2" t="inlineStr">
        <is>
          <t>APROUVE</t>
        </is>
      </c>
      <c r="K55" s="2">
        <f>_xlfn.IFNA(_xlfn.XLOOKUP(Table1[[#This Row],[N° BC]],'Commandes Dechargees'!B:B,'Commandes Dechargees'!P:P),"EN ATTENTE DE DECHARGEMENT")</f>
        <v/>
      </c>
    </row>
    <row r="56" ht="25.5" customHeight="1">
      <c r="C56" s="1" t="n">
        <v>46252</v>
      </c>
      <c r="D56" s="2" t="inlineStr">
        <is>
          <t>0052-BC-SHEA/NAP-2026</t>
        </is>
      </c>
      <c r="E56" s="2" t="inlineStr">
        <is>
          <t>FRS00019</t>
        </is>
      </c>
      <c r="F56" s="3">
        <f>_xlfn.XLOOKUP(Table1[[#This Row],[Code Frs]],'CODE FRS'!B:B,'CODE FRS'!C:C)</f>
        <v/>
      </c>
      <c r="G56" s="2" t="inlineStr">
        <is>
          <t>BY6831RB/BC1375RB</t>
        </is>
      </c>
      <c r="H56" s="2" t="n">
        <v>148003238</v>
      </c>
      <c r="I56" s="2" t="n">
        <v>50</v>
      </c>
      <c r="J56" s="2" t="inlineStr">
        <is>
          <t>APROUVE</t>
        </is>
      </c>
      <c r="K56" s="2">
        <f>_xlfn.IFNA(_xlfn.XLOOKUP(Table1[[#This Row],[N° BC]],'Commandes Dechargees'!B:B,'Commandes Dechargees'!P:P),"EN ATTENTE DE DECHARGEMENT")</f>
        <v/>
      </c>
    </row>
    <row r="57" ht="25.5" customHeight="1">
      <c r="C57" s="1" t="n">
        <v>46252</v>
      </c>
      <c r="D57" s="2" t="inlineStr">
        <is>
          <t>0053-BC-SHEA/NAP-2026</t>
        </is>
      </c>
      <c r="E57" s="2" t="inlineStr">
        <is>
          <t>FRS00016</t>
        </is>
      </c>
      <c r="F57" s="3">
        <f>_xlfn.XLOOKUP(Table1[[#This Row],[Code Frs]],'CODE FRS'!B:B,'CODE FRS'!C:C)</f>
        <v/>
      </c>
      <c r="G57" s="2" t="inlineStr">
        <is>
          <t>BP6016RB/BB1424RB</t>
        </is>
      </c>
      <c r="H57" s="2" t="n">
        <v>144032700</v>
      </c>
      <c r="I57" s="2" t="n">
        <v>50</v>
      </c>
      <c r="J57" s="2" t="inlineStr">
        <is>
          <t>EN ATTENTE</t>
        </is>
      </c>
      <c r="K57" s="2">
        <f>_xlfn.IFNA(_xlfn.XLOOKUP(Table1[[#This Row],[N° BC]],'Commandes Dechargees'!B:B,'Commandes Dechargees'!P:P),"EN ATTENTE DE DECHARGEMENT")</f>
        <v/>
      </c>
    </row>
    <row r="58" ht="25.5" customHeight="1">
      <c r="C58" s="1" t="n">
        <v>46252</v>
      </c>
      <c r="D58" s="2" t="inlineStr">
        <is>
          <t>0054-BC-SHEA/NAP-2026</t>
        </is>
      </c>
      <c r="E58" s="2" t="inlineStr">
        <is>
          <t>FRS00006</t>
        </is>
      </c>
      <c r="F58" s="3">
        <f>_xlfn.XLOOKUP(Table1[[#This Row],[Code Frs]],'CODE FRS'!B:B,'CODE FRS'!C:C)</f>
        <v/>
      </c>
      <c r="G58" s="2" t="inlineStr">
        <is>
          <t>CE3990RB/CE0722RB</t>
        </is>
      </c>
      <c r="H58" s="2" t="n">
        <v>161628072</v>
      </c>
      <c r="I58" s="2" t="n">
        <v>40</v>
      </c>
      <c r="J58" s="2" t="inlineStr">
        <is>
          <t>EN ATTENTE</t>
        </is>
      </c>
      <c r="K58" s="2">
        <f>_xlfn.IFNA(_xlfn.XLOOKUP(Table1[[#This Row],[N° BC]],'Commandes Dechargees'!B:B,'Commandes Dechargees'!P:P),"EN ATTENTE DE DECHARGEMENT")</f>
        <v/>
      </c>
    </row>
    <row r="59" ht="25.5" customHeight="1">
      <c r="C59" s="1" t="n">
        <v>46252</v>
      </c>
      <c r="D59" s="2" t="inlineStr">
        <is>
          <t>0055-BC-SHEA/NAP-2026</t>
        </is>
      </c>
      <c r="E59" s="2" t="inlineStr">
        <is>
          <t>FRS00020</t>
        </is>
      </c>
      <c r="F59" s="34">
        <f>_xlfn.XLOOKUP(Table1[[#This Row],[Code Frs]],'CODE FRS'!B:B,'CODE FRS'!C:C)</f>
        <v/>
      </c>
      <c r="G59" s="2" t="inlineStr">
        <is>
          <t>CJ1106RB/BT4254RB</t>
        </is>
      </c>
      <c r="H59" s="2" t="n">
        <v>144599373</v>
      </c>
      <c r="I59" s="2" t="n">
        <v>50</v>
      </c>
      <c r="J59" s="2" t="inlineStr">
        <is>
          <t>EN ATTENTE</t>
        </is>
      </c>
      <c r="K59" s="2">
        <f>_xlfn.IFNA(_xlfn.XLOOKUP(Table1[[#This Row],[N° BC]],'Commandes Dechargees'!B:B,'Commandes Dechargees'!P:P),"EN ATTENTE DE DECHARGEMENT")</f>
        <v/>
      </c>
    </row>
    <row r="60" ht="25.5" customHeight="1">
      <c r="C60" s="1" t="n">
        <v>46253</v>
      </c>
      <c r="D60" s="2" t="inlineStr">
        <is>
          <t>0056-BC-SHEA/NAP-2026</t>
        </is>
      </c>
      <c r="E60" s="2" t="inlineStr">
        <is>
          <t>FRS00014</t>
        </is>
      </c>
      <c r="F60" s="3">
        <f>_xlfn.XLOOKUP(Table1[[#This Row],[Code Frs]],'CODE FRS'!B:B,'CODE FRS'!C:C)</f>
        <v/>
      </c>
      <c r="G60" s="2" t="inlineStr">
        <is>
          <t>BN8284RB/AH6563RB</t>
        </is>
      </c>
      <c r="H60" s="2" t="n">
        <v>166552623</v>
      </c>
      <c r="I60" s="2" t="n">
        <v>50</v>
      </c>
      <c r="J60" s="2" t="inlineStr">
        <is>
          <t>REJETE</t>
        </is>
      </c>
      <c r="K60" s="2" t="inlineStr">
        <is>
          <t>REJETE</t>
        </is>
      </c>
    </row>
    <row r="61" ht="25.5" customHeight="1">
      <c r="C61" s="1" t="n">
        <v>46253</v>
      </c>
      <c r="D61" s="2" t="inlineStr">
        <is>
          <t>0057-BC-SHEA/NAP-2026</t>
        </is>
      </c>
      <c r="E61" s="2" t="inlineStr">
        <is>
          <t>FRS00001</t>
        </is>
      </c>
      <c r="F61" s="3">
        <f>_xlfn.XLOOKUP(Table1[[#This Row],[Code Frs]],'CODE FRS'!B:B,'CODE FRS'!C:C)</f>
        <v/>
      </c>
      <c r="G61" s="2" t="inlineStr">
        <is>
          <t>BE0581RB/AZ5255RB</t>
        </is>
      </c>
      <c r="H61" s="2" t="n">
        <v>193400076</v>
      </c>
      <c r="I61" s="2" t="n">
        <v>50</v>
      </c>
      <c r="J61" s="2" t="inlineStr">
        <is>
          <t>REJETE</t>
        </is>
      </c>
      <c r="K61" s="2" t="inlineStr">
        <is>
          <t>REJETE</t>
        </is>
      </c>
    </row>
    <row r="62" ht="25.5" customHeight="1">
      <c r="C62" s="1" t="n">
        <v>46253</v>
      </c>
      <c r="D62" s="2" t="inlineStr">
        <is>
          <t>0058-BC-SHEA/NAP-2026</t>
        </is>
      </c>
      <c r="E62" s="2" t="inlineStr">
        <is>
          <t>FRS00021</t>
        </is>
      </c>
      <c r="F62" s="3">
        <f>_xlfn.XLOOKUP(Table1[[#This Row],[Code Frs]],'CODE FRS'!B:B,'CODE FRS'!C:C)</f>
        <v/>
      </c>
      <c r="G62" s="2" t="inlineStr">
        <is>
          <t>CH2008RB/BA5975RB</t>
        </is>
      </c>
      <c r="H62" s="2" t="n">
        <v>144278738</v>
      </c>
      <c r="I62" s="2" t="n">
        <v>42</v>
      </c>
      <c r="J62" s="2" t="inlineStr">
        <is>
          <t>APROUVE</t>
        </is>
      </c>
      <c r="K62" s="2">
        <f>_xlfn.IFNA(_xlfn.XLOOKUP(Table1[[#This Row],[N° BC]],'Commandes Dechargees'!B:B,'Commandes Dechargees'!P:P),"EN ATTENTE DE DECHARGEMENT")</f>
        <v/>
      </c>
    </row>
    <row r="63" ht="25.5" customHeight="1">
      <c r="C63" s="1" t="n">
        <v>46253</v>
      </c>
      <c r="D63" s="2" t="inlineStr">
        <is>
          <t>0059-BC-SHEA/NAP-2026</t>
        </is>
      </c>
      <c r="E63" s="2" t="inlineStr">
        <is>
          <t>FRS00016</t>
        </is>
      </c>
      <c r="F63" s="3">
        <f>_xlfn.XLOOKUP(Table1[[#This Row],[Code Frs]],'CODE FRS'!B:B,'CODE FRS'!C:C)</f>
        <v/>
      </c>
      <c r="G63" s="2" t="inlineStr">
        <is>
          <t>BU6129/BU5781RB</t>
        </is>
      </c>
      <c r="H63" s="2" t="n">
        <v>165164733</v>
      </c>
      <c r="I63" s="2" t="n">
        <v>50</v>
      </c>
      <c r="J63" s="2" t="inlineStr">
        <is>
          <t>APROUVE</t>
        </is>
      </c>
      <c r="K63" s="2">
        <f>_xlfn.IFNA(_xlfn.XLOOKUP(Table1[[#This Row],[N° BC]],'Commandes Dechargees'!B:B,'Commandes Dechargees'!P:P),"EN ATTENTE DE DECHARGEMENT")</f>
        <v/>
      </c>
    </row>
    <row r="64" ht="25.5" customHeight="1">
      <c r="C64" s="1" t="n">
        <v>46253</v>
      </c>
      <c r="D64" s="2" t="inlineStr">
        <is>
          <t>0060-BC-SHEA/NAP-2026</t>
        </is>
      </c>
      <c r="E64" s="2" t="inlineStr">
        <is>
          <t>FRS00016</t>
        </is>
      </c>
      <c r="F64" s="3">
        <f>_xlfn.XLOOKUP(Table1[[#This Row],[Code Frs]],'CODE FRS'!B:B,'CODE FRS'!C:C)</f>
        <v/>
      </c>
      <c r="G64" s="2" t="inlineStr">
        <is>
          <t>BR5745/AX3586RB</t>
        </is>
      </c>
      <c r="H64" s="2" t="n">
        <v>156841695</v>
      </c>
      <c r="I64" s="2" t="n">
        <v>50</v>
      </c>
      <c r="J64" s="2" t="inlineStr">
        <is>
          <t>APROUVE</t>
        </is>
      </c>
      <c r="K64" s="2">
        <f>_xlfn.IFNA(_xlfn.XLOOKUP(Table1[[#This Row],[N° BC]],'Commandes Dechargees'!B:B,'Commandes Dechargees'!P:P),"EN ATTENTE DE DECHARGEMENT")</f>
        <v/>
      </c>
    </row>
    <row r="65" ht="25.5" customHeight="1">
      <c r="C65" s="1" t="n">
        <v>46253</v>
      </c>
      <c r="D65" s="2" t="inlineStr">
        <is>
          <t>0061-BC-SHEA/NAP-2026</t>
        </is>
      </c>
      <c r="E65" s="2" t="inlineStr">
        <is>
          <t>FRS00006</t>
        </is>
      </c>
      <c r="F65" s="3">
        <f>_xlfn.XLOOKUP(Table1[[#This Row],[Code Frs]],'CODE FRS'!B:B,'CODE FRS'!C:C)</f>
        <v/>
      </c>
      <c r="G65" s="2" t="inlineStr">
        <is>
          <t>BS5267/4602RB</t>
        </is>
      </c>
      <c r="H65" s="2" t="n">
        <v>197379795</v>
      </c>
      <c r="I65" s="2" t="n">
        <v>50</v>
      </c>
      <c r="J65" s="2" t="inlineStr">
        <is>
          <t>EN ATTENTE</t>
        </is>
      </c>
      <c r="K65" s="2">
        <f>_xlfn.IFNA(_xlfn.XLOOKUP(Table1[[#This Row],[N° BC]],'Commandes Dechargees'!B:B,'Commandes Dechargees'!P:P),"EN ATTENTE DE DECHARGEMENT")</f>
        <v/>
      </c>
    </row>
    <row r="66" ht="25.5" customHeight="1">
      <c r="C66" s="1" t="n">
        <v>46254</v>
      </c>
      <c r="D66" s="2" t="inlineStr">
        <is>
          <t>0062-BC-SHEA/NAP-2026</t>
        </is>
      </c>
      <c r="E66" s="2" t="inlineStr">
        <is>
          <t>FRS00001</t>
        </is>
      </c>
      <c r="F66" s="3">
        <f>_xlfn.XLOOKUP(Table1[[#This Row],[Code Frs]],'CODE FRS'!B:B,'CODE FRS'!C:C)</f>
        <v/>
      </c>
      <c r="G66" s="2" t="inlineStr">
        <is>
          <t>BS9163RB/CD2740RB</t>
        </is>
      </c>
      <c r="H66" s="2" t="n">
        <v>197700732</v>
      </c>
      <c r="I66" s="2" t="n">
        <v>46</v>
      </c>
      <c r="J66" s="2" t="inlineStr">
        <is>
          <t>APROUVE</t>
        </is>
      </c>
      <c r="K66" s="2">
        <f>_xlfn.IFNA(_xlfn.XLOOKUP(Table1[[#This Row],[N° BC]],'Commandes Dechargees'!B:B,'Commandes Dechargees'!P:P),"EN ATTENTE DE DECHARGEMENT")</f>
        <v/>
      </c>
    </row>
    <row r="67" ht="25.5" customHeight="1">
      <c r="C67" s="1" t="n">
        <v>46254</v>
      </c>
      <c r="D67" s="2" t="inlineStr">
        <is>
          <t>0063-BC-SHEA/NAP-2026</t>
        </is>
      </c>
      <c r="E67" s="2" t="inlineStr">
        <is>
          <t>FRS00022</t>
        </is>
      </c>
      <c r="F67" s="3">
        <f>_xlfn.XLOOKUP(Table1[[#This Row],[Code Frs]],'CODE FRS'!B:B,'CODE FRS'!C:C)</f>
        <v/>
      </c>
      <c r="G67" s="2" t="inlineStr">
        <is>
          <t>BP5945RB/BY8609RB</t>
        </is>
      </c>
      <c r="H67" s="2" t="n">
        <v>197383815</v>
      </c>
      <c r="I67" s="2" t="n">
        <v>38</v>
      </c>
      <c r="J67" s="2" t="inlineStr">
        <is>
          <t>APROUVE</t>
        </is>
      </c>
      <c r="K67" s="2">
        <f>_xlfn.IFNA(_xlfn.XLOOKUP(Table1[[#This Row],[N° BC]],'Commandes Dechargees'!B:B,'Commandes Dechargees'!P:P),"EN ATTENTE DE DECHARGEMENT")</f>
        <v/>
      </c>
    </row>
    <row r="68" ht="25.5" customHeight="1">
      <c r="C68" s="1" t="n">
        <v>46254</v>
      </c>
      <c r="D68" s="2" t="inlineStr">
        <is>
          <t>0064-BC-SHEA/NAP-2026</t>
        </is>
      </c>
      <c r="E68" s="2" t="inlineStr">
        <is>
          <t>FRS00006</t>
        </is>
      </c>
      <c r="F68" s="3">
        <f>_xlfn.XLOOKUP(Table1[[#This Row],[Code Frs]],'CODE FRS'!B:B,'CODE FRS'!C:C)</f>
        <v/>
      </c>
      <c r="G68" s="2" t="inlineStr">
        <is>
          <t>CL2204RB/BV2541RB</t>
        </is>
      </c>
      <c r="H68" s="2" t="n">
        <v>190365237</v>
      </c>
      <c r="I68" s="2" t="n">
        <v>45</v>
      </c>
      <c r="J68" s="2" t="inlineStr">
        <is>
          <t>APROUVE</t>
        </is>
      </c>
      <c r="K68" s="2">
        <f>_xlfn.IFNA(_xlfn.XLOOKUP(Table1[[#This Row],[N° BC]],'Commandes Dechargees'!B:B,'Commandes Dechargees'!P:P),"EN ATTENTE DE DECHARGEMENT")</f>
        <v/>
      </c>
    </row>
    <row r="69" ht="25.5" customHeight="1">
      <c r="C69" s="1" t="n">
        <v>46254</v>
      </c>
      <c r="D69" s="2" t="inlineStr">
        <is>
          <t>0065-BC-SHEA/NAP-2026</t>
        </is>
      </c>
      <c r="E69" s="2" t="inlineStr">
        <is>
          <t>FRS00016</t>
        </is>
      </c>
      <c r="F69" s="3">
        <f>_xlfn.XLOOKUP(Table1[[#This Row],[Code Frs]],'CODE FRS'!B:B,'CODE FRS'!C:C)</f>
        <v/>
      </c>
      <c r="G69" s="2" t="inlineStr">
        <is>
          <t>CK5227/CK6157RB</t>
        </is>
      </c>
      <c r="H69" s="2" t="n">
        <v>141544135</v>
      </c>
      <c r="I69" s="2" t="n">
        <v>50</v>
      </c>
      <c r="J69" s="2" t="inlineStr">
        <is>
          <t>APROUVE</t>
        </is>
      </c>
      <c r="K69" s="2">
        <f>_xlfn.IFNA(_xlfn.XLOOKUP(Table1[[#This Row],[N° BC]],'Commandes Dechargees'!B:B,'Commandes Dechargees'!P:P),"EN ATTENTE DE DECHARGEMENT")</f>
        <v/>
      </c>
    </row>
    <row r="70" ht="25.5" customHeight="1">
      <c r="C70" s="1" t="n">
        <v>46254</v>
      </c>
      <c r="D70" s="2" t="inlineStr">
        <is>
          <t>0066-BC-SHEA/NAP-2026</t>
        </is>
      </c>
      <c r="E70" s="2" t="inlineStr">
        <is>
          <t>FRS00016</t>
        </is>
      </c>
      <c r="F70" s="3">
        <f>_xlfn.XLOOKUP(Table1[[#This Row],[Code Frs]],'CODE FRS'!B:B,'CODE FRS'!C:C)</f>
        <v/>
      </c>
      <c r="G70" s="2" t="inlineStr">
        <is>
          <t>BF6815/BA3127RB</t>
        </is>
      </c>
      <c r="H70" s="2" t="n">
        <v>169763269</v>
      </c>
      <c r="I70" s="2" t="n">
        <v>50</v>
      </c>
      <c r="J70" s="2" t="inlineStr">
        <is>
          <t>EN ATTENTE</t>
        </is>
      </c>
      <c r="K70" s="2">
        <f>_xlfn.IFNA(_xlfn.XLOOKUP(Table1[[#This Row],[N° BC]],'Commandes Dechargees'!B:B,'Commandes Dechargees'!P:P),"EN ATTENTE DE DECHARGEMENT")</f>
        <v/>
      </c>
    </row>
    <row r="71" ht="25.5" customHeight="1">
      <c r="C71" s="1" t="n">
        <v>46254</v>
      </c>
      <c r="D71" s="2" t="inlineStr">
        <is>
          <t>0067-BC-SHEA/NAP-2026</t>
        </is>
      </c>
      <c r="E71" s="2" t="inlineStr">
        <is>
          <t>FRS00009</t>
        </is>
      </c>
      <c r="F71" s="3">
        <f>_xlfn.XLOOKUP(Table1[[#This Row],[Code Frs]],'CODE FRS'!B:B,'CODE FRS'!C:C)</f>
        <v/>
      </c>
      <c r="G71" s="2" t="inlineStr">
        <is>
          <t>CD6234RB/CD6233RB</t>
        </is>
      </c>
      <c r="H71" s="2" t="n">
        <v>196909282</v>
      </c>
      <c r="I71" s="2" t="n">
        <v>50</v>
      </c>
      <c r="J71" s="2" t="inlineStr">
        <is>
          <t>REJETE</t>
        </is>
      </c>
      <c r="K71" s="2" t="inlineStr">
        <is>
          <t>REJETE</t>
        </is>
      </c>
    </row>
    <row r="72" ht="25.5" customHeight="1">
      <c r="C72" s="1" t="n">
        <v>46255</v>
      </c>
      <c r="D72" s="2" t="inlineStr">
        <is>
          <t>0068-BC-SHEA/NAP-2026</t>
        </is>
      </c>
      <c r="E72" s="2" t="inlineStr">
        <is>
          <t>FRS00009</t>
        </is>
      </c>
      <c r="F72" s="3">
        <f>_xlfn.XLOOKUP(Table1[[#This Row],[Code Frs]],'CODE FRS'!B:B,'CODE FRS'!C:C)</f>
        <v/>
      </c>
      <c r="G72" s="2" t="inlineStr">
        <is>
          <t>BS6715RB/AP8439RB</t>
        </is>
      </c>
      <c r="H72" s="2" t="n">
        <v>196909282</v>
      </c>
      <c r="I72" s="2" t="n">
        <v>50</v>
      </c>
      <c r="J72" s="2" t="inlineStr">
        <is>
          <t>EN ATTENTE</t>
        </is>
      </c>
      <c r="K72" s="2">
        <f>_xlfn.IFNA(_xlfn.XLOOKUP(Table1[[#This Row],[N° BC]],'Commandes Dechargees'!B:B,'Commandes Dechargees'!P:P),"EN ATTENTE DE DECHARGEMENT")</f>
        <v/>
      </c>
    </row>
    <row r="73" ht="25.5" customHeight="1">
      <c r="C73" s="1" t="n">
        <v>46255</v>
      </c>
      <c r="D73" s="2" t="inlineStr">
        <is>
          <t>0069-BC-SHEA/NAP-2026</t>
        </is>
      </c>
      <c r="E73" s="2" t="inlineStr">
        <is>
          <t>FRS00016</t>
        </is>
      </c>
      <c r="F73" s="3">
        <f>_xlfn.XLOOKUP(Table1[[#This Row],[Code Frs]],'CODE FRS'!B:B,'CODE FRS'!C:C)</f>
        <v/>
      </c>
      <c r="G73" s="2" t="inlineStr">
        <is>
          <t>CA7583/AP2290RB</t>
        </is>
      </c>
      <c r="H73" s="2" t="n">
        <v>162060618</v>
      </c>
      <c r="I73" s="2" t="n">
        <v>50</v>
      </c>
      <c r="J73" s="2" t="inlineStr">
        <is>
          <t>APROUVE</t>
        </is>
      </c>
      <c r="K73" s="2">
        <f>_xlfn.IFNA(_xlfn.XLOOKUP(Table1[[#This Row],[N° BC]],'Commandes Dechargees'!B:B,'Commandes Dechargees'!P:P),"EN ATTENTE DE DECHARGEMENT")</f>
        <v/>
      </c>
    </row>
    <row r="74" ht="25.5" customHeight="1">
      <c r="C74" s="1" t="n">
        <v>46255</v>
      </c>
      <c r="D74" s="2" t="inlineStr">
        <is>
          <t>0070-BC-SHEA/NAP-2026</t>
        </is>
      </c>
      <c r="E74" s="2" t="inlineStr">
        <is>
          <t>FRS00016</t>
        </is>
      </c>
      <c r="F74" s="3">
        <f>_xlfn.XLOOKUP(Table1[[#This Row],[Code Frs]],'CODE FRS'!B:B,'CODE FRS'!C:C)</f>
        <v/>
      </c>
      <c r="G74" s="2" t="inlineStr">
        <is>
          <t>CA5858/AC1719 RB</t>
        </is>
      </c>
      <c r="H74" s="2" t="n">
        <v>143039404</v>
      </c>
      <c r="I74" s="2" t="n">
        <v>50</v>
      </c>
      <c r="J74" s="2" t="inlineStr">
        <is>
          <t>APROUVE</t>
        </is>
      </c>
      <c r="K74" s="2">
        <f>_xlfn.IFNA(_xlfn.XLOOKUP(Table1[[#This Row],[N° BC]],'Commandes Dechargees'!B:B,'Commandes Dechargees'!P:P),"EN ATTENTE DE DECHARGEMENT")</f>
        <v/>
      </c>
    </row>
    <row r="75" ht="25.5" customHeight="1">
      <c r="C75" s="1" t="n">
        <v>46255</v>
      </c>
      <c r="D75" s="2" t="inlineStr">
        <is>
          <t>0071-BC-SHEA/NAP-2026</t>
        </is>
      </c>
      <c r="E75" s="2" t="inlineStr">
        <is>
          <t>FRS00007</t>
        </is>
      </c>
      <c r="F75" s="3">
        <f>_xlfn.XLOOKUP(Table1[[#This Row],[Code Frs]],'CODE FRS'!B:B,'CODE FRS'!C:C)</f>
        <v/>
      </c>
      <c r="G75" s="2" t="inlineStr">
        <is>
          <t>BN5162/ BS1546RB</t>
        </is>
      </c>
      <c r="H75" s="2" t="n">
        <v>166193674</v>
      </c>
      <c r="I75" s="2" t="n">
        <v>50</v>
      </c>
      <c r="J75" s="2" t="inlineStr">
        <is>
          <t>EN ATTENTE</t>
        </is>
      </c>
      <c r="K75" s="2">
        <f>_xlfn.IFNA(_xlfn.XLOOKUP(Table1[[#This Row],[N° BC]],'Commandes Dechargees'!B:B,'Commandes Dechargees'!P:P),"EN ATTENTE DE DECHARGEMENT")</f>
        <v/>
      </c>
    </row>
    <row r="76" ht="25.5" customHeight="1">
      <c r="C76" s="1" t="n">
        <v>46255</v>
      </c>
      <c r="D76" s="2" t="inlineStr">
        <is>
          <t>0072-BC-SHEA/NAP-2026</t>
        </is>
      </c>
      <c r="E76" s="2" t="inlineStr">
        <is>
          <t>FRS00010</t>
        </is>
      </c>
      <c r="F76" s="3">
        <f>_xlfn.XLOOKUP(Table1[[#This Row],[Code Frs]],'CODE FRS'!B:B,'CODE FRS'!C:C)</f>
        <v/>
      </c>
      <c r="G76" s="2" t="inlineStr">
        <is>
          <t>CE4892RB/AX7785RB</t>
        </is>
      </c>
      <c r="H76" s="2" t="n">
        <v>166326936</v>
      </c>
      <c r="I76" s="2" t="n">
        <v>50</v>
      </c>
      <c r="J76" s="2" t="inlineStr">
        <is>
          <t>REJETE</t>
        </is>
      </c>
      <c r="K76" s="2" t="inlineStr">
        <is>
          <t>REJETE</t>
        </is>
      </c>
    </row>
    <row r="77" ht="25.5" customHeight="1">
      <c r="C77" s="1" t="n">
        <v>46255</v>
      </c>
      <c r="D77" s="2" t="inlineStr">
        <is>
          <t>0073-BC-SHEA/NAP-2026</t>
        </is>
      </c>
      <c r="E77" s="2" t="inlineStr">
        <is>
          <t>FRS00021</t>
        </is>
      </c>
      <c r="F77" s="3">
        <f>_xlfn.XLOOKUP(Table1[[#This Row],[Code Frs]],'CODE FRS'!B:B,'CODE FRS'!C:C)</f>
        <v/>
      </c>
      <c r="G77" s="2" t="inlineStr">
        <is>
          <t>BS7274RB/AE2056RB</t>
        </is>
      </c>
      <c r="H77" s="2" t="n">
        <v>197967072</v>
      </c>
      <c r="I77" s="2" t="n">
        <v>45</v>
      </c>
      <c r="J77" s="2" t="inlineStr">
        <is>
          <t>EN ATTENTE</t>
        </is>
      </c>
      <c r="K77" s="2">
        <f>_xlfn.IFNA(_xlfn.XLOOKUP(Table1[[#This Row],[N° BC]],'Commandes Dechargees'!B:B,'Commandes Dechargees'!P:P),"EN ATTENTE DE DECHARGEMENT")</f>
        <v/>
      </c>
    </row>
    <row r="78" ht="25.5" customHeight="1">
      <c r="C78" s="1" t="n">
        <v>46255</v>
      </c>
      <c r="D78" s="2" t="inlineStr">
        <is>
          <t>0074-BC-SHEA/NAP-2026</t>
        </is>
      </c>
      <c r="E78" s="2" t="inlineStr">
        <is>
          <t>FRS00021</t>
        </is>
      </c>
      <c r="F78" s="3">
        <f>_xlfn.XLOOKUP(Table1[[#This Row],[Code Frs]],'CODE FRS'!B:B,'CODE FRS'!C:C)</f>
        <v/>
      </c>
      <c r="G78" s="2" t="inlineStr">
        <is>
          <t>BY0595RB/BT9372RB</t>
        </is>
      </c>
      <c r="H78" s="2" t="n">
        <v>143644032</v>
      </c>
      <c r="I78" s="2" t="n">
        <v>43</v>
      </c>
      <c r="J78" s="2" t="inlineStr">
        <is>
          <t>EN ATTENTE</t>
        </is>
      </c>
      <c r="K78" s="2">
        <f>_xlfn.IFNA(_xlfn.XLOOKUP(Table1[[#This Row],[N° BC]],'Commandes Dechargees'!B:B,'Commandes Dechargees'!P:P),"EN ATTENTE DE DECHARGEMENT")</f>
        <v/>
      </c>
    </row>
    <row r="79" ht="25.5" customHeight="1">
      <c r="C79" s="1" t="n">
        <v>46255</v>
      </c>
      <c r="D79" s="2" t="inlineStr">
        <is>
          <t>0075-BC-SHEA/NAP-2026</t>
        </is>
      </c>
      <c r="E79" s="2" t="inlineStr">
        <is>
          <t>FRS00003</t>
        </is>
      </c>
      <c r="F79" s="3">
        <f>_xlfn.XLOOKUP(Table1[[#This Row],[Code Frs]],'CODE FRS'!B:B,'CODE FRS'!C:C)</f>
        <v/>
      </c>
      <c r="G79" s="2" t="inlineStr">
        <is>
          <t xml:space="preserve"> AX8757RB/AJ9269RB</t>
        </is>
      </c>
      <c r="H79" s="2" t="n">
        <v>197383256</v>
      </c>
      <c r="I79" s="2" t="n">
        <v>50</v>
      </c>
      <c r="J79" s="2" t="inlineStr">
        <is>
          <t>APROUVE</t>
        </is>
      </c>
      <c r="K79" s="2">
        <f>_xlfn.IFNA(_xlfn.XLOOKUP(Table1[[#This Row],[N° BC]],'Commandes Dechargees'!B:B,'Commandes Dechargees'!P:P),"EN ATTENTE DE DECHARGEMENT")</f>
        <v/>
      </c>
    </row>
    <row r="80" ht="25.5" customHeight="1">
      <c r="C80" s="1" t="n">
        <v>46255</v>
      </c>
      <c r="D80" s="2" t="inlineStr">
        <is>
          <t>0076-BC-SHEA/NAP-2026</t>
        </is>
      </c>
      <c r="E80" s="2" t="inlineStr">
        <is>
          <t>FRS00001</t>
        </is>
      </c>
      <c r="F80" s="3">
        <f>_xlfn.XLOOKUP(Table1[[#This Row],[Code Frs]],'CODE FRS'!B:B,'CODE FRS'!C:C)</f>
        <v/>
      </c>
      <c r="G80" s="2" t="inlineStr">
        <is>
          <t>CG4463RB/CE6958RB</t>
        </is>
      </c>
      <c r="H80" s="2" t="n">
        <v>152872506</v>
      </c>
      <c r="I80" s="2" t="n">
        <v>48</v>
      </c>
      <c r="J80" s="2" t="inlineStr">
        <is>
          <t>APROUVE</t>
        </is>
      </c>
      <c r="K80" s="2">
        <f>_xlfn.IFNA(_xlfn.XLOOKUP(Table1[[#This Row],[N° BC]],'Commandes Dechargees'!B:B,'Commandes Dechargees'!P:P),"EN ATTENTE DE DECHARGEMENT")</f>
        <v/>
      </c>
    </row>
    <row r="81" ht="25.5" customHeight="1">
      <c r="C81" s="1" t="n">
        <v>46256</v>
      </c>
      <c r="D81" s="2" t="inlineStr">
        <is>
          <t>0077-BC-SHEA/NAP-2026</t>
        </is>
      </c>
      <c r="E81" s="2" t="inlineStr">
        <is>
          <t>FRS00021</t>
        </is>
      </c>
      <c r="F81" s="3">
        <f>_xlfn.XLOOKUP(Table1[[#This Row],[Code Frs]],'CODE FRS'!B:B,'CODE FRS'!C:C)</f>
        <v/>
      </c>
      <c r="G81" s="2" t="inlineStr">
        <is>
          <t>CD0405RB/AN1489RB</t>
        </is>
      </c>
      <c r="H81" s="2" t="n">
        <v>160198409</v>
      </c>
      <c r="I81" s="2" t="n">
        <v>45</v>
      </c>
      <c r="J81" s="2" t="inlineStr">
        <is>
          <t>EN ATTENTE</t>
        </is>
      </c>
      <c r="K81" s="2">
        <f>_xlfn.IFNA(_xlfn.XLOOKUP(Table1[[#This Row],[N° BC]],'Commandes Dechargees'!B:B,'Commandes Dechargees'!P:P),"EN ATTENTE DE DECHARGEMENT")</f>
        <v/>
      </c>
    </row>
    <row r="82" ht="25.5" customHeight="1">
      <c r="C82" s="1" t="n">
        <v>46256</v>
      </c>
      <c r="D82" s="2" t="inlineStr">
        <is>
          <t>0078-BC-SHEA/NAP-2026</t>
        </is>
      </c>
      <c r="E82" s="2" t="inlineStr">
        <is>
          <t>FRS00009</t>
        </is>
      </c>
      <c r="F82" s="3">
        <f>_xlfn.XLOOKUP(Table1[[#This Row],[Code Frs]],'CODE FRS'!B:B,'CODE FRS'!C:C)</f>
        <v/>
      </c>
      <c r="G82" s="2" t="inlineStr">
        <is>
          <t>BD4987RB/BE6187RB</t>
        </is>
      </c>
      <c r="H82" s="2" t="n">
        <v>196527302</v>
      </c>
      <c r="I82" s="2" t="n">
        <v>43</v>
      </c>
      <c r="J82" s="2" t="inlineStr">
        <is>
          <t>APROUVE</t>
        </is>
      </c>
      <c r="K82" s="2">
        <f>_xlfn.IFNA(_xlfn.XLOOKUP(Table1[[#This Row],[N° BC]],'Commandes Dechargees'!B:B,'Commandes Dechargees'!P:P),"EN ATTENTE DE DECHARGEMENT")</f>
        <v/>
      </c>
    </row>
    <row r="83" ht="25.5" customHeight="1">
      <c r="C83" s="1" t="n">
        <v>46256</v>
      </c>
      <c r="D83" s="2" t="inlineStr">
        <is>
          <t>0079-BC-SHEA/NAP-2026</t>
        </is>
      </c>
      <c r="E83" s="2" t="inlineStr">
        <is>
          <t>FRS00023</t>
        </is>
      </c>
      <c r="F83" s="3">
        <f>_xlfn.XLOOKUP(Table1[[#This Row],[Code Frs]],'CODE FRS'!B:B,'CODE FRS'!C:C)</f>
        <v/>
      </c>
      <c r="G83" s="2" t="inlineStr">
        <is>
          <t>BT1725RB</t>
        </is>
      </c>
      <c r="H83" s="2" t="n">
        <v>140391210</v>
      </c>
      <c r="I83" s="2" t="n">
        <v>47</v>
      </c>
      <c r="J83" s="2" t="inlineStr">
        <is>
          <t>EN ATTENTE</t>
        </is>
      </c>
      <c r="K83" s="2">
        <f>_xlfn.IFNA(_xlfn.XLOOKUP(Table1[[#This Row],[N° BC]],'Commandes Dechargees'!B:B,'Commandes Dechargees'!P:P),"EN ATTENTE DE DECHARGEMENT")</f>
        <v/>
      </c>
    </row>
    <row r="84" ht="25.5" customHeight="1">
      <c r="C84" s="1" t="n">
        <v>46256</v>
      </c>
      <c r="D84" s="2" t="inlineStr">
        <is>
          <t>0080-BC-SHEA/NAP-2026</t>
        </is>
      </c>
      <c r="E84" s="2" t="inlineStr">
        <is>
          <t>FRS00001</t>
        </is>
      </c>
      <c r="F84" s="3">
        <f>_xlfn.XLOOKUP(Table1[[#This Row],[Code Frs]],'CODE FRS'!B:B,'CODE FRS'!C:C)</f>
        <v/>
      </c>
      <c r="G84" s="2" t="inlineStr">
        <is>
          <t>BE0559RB/BD8562RB</t>
        </is>
      </c>
      <c r="H84" s="2" t="n">
        <v>194971590</v>
      </c>
      <c r="I84" s="2" t="n">
        <v>45</v>
      </c>
      <c r="J84" s="2" t="inlineStr">
        <is>
          <t>APROUVE</t>
        </is>
      </c>
      <c r="K84" s="2">
        <f>_xlfn.IFNA(_xlfn.XLOOKUP(Table1[[#This Row],[N° BC]],'Commandes Dechargees'!B:B,'Commandes Dechargees'!P:P),"EN ATTENTE DE DECHARGEMENT")</f>
        <v/>
      </c>
    </row>
    <row r="85" ht="25.5" customHeight="1">
      <c r="C85" s="1" t="n">
        <v>46258</v>
      </c>
      <c r="D85" s="2" t="inlineStr">
        <is>
          <t>0081-BC-SHEA/NAP-2026</t>
        </is>
      </c>
      <c r="E85" s="2" t="inlineStr">
        <is>
          <t>FRS00001</t>
        </is>
      </c>
      <c r="F85" s="3">
        <f>_xlfn.XLOOKUP(Table1[[#This Row],[Code Frs]],'CODE FRS'!B:B,'CODE FRS'!C:C)</f>
        <v/>
      </c>
      <c r="G85" s="2" t="inlineStr">
        <is>
          <t>BE0581RB/AZ5255RB</t>
        </is>
      </c>
      <c r="H85" s="2" t="n">
        <v>193400076</v>
      </c>
      <c r="I85" s="2" t="n">
        <v>45</v>
      </c>
      <c r="J85" s="2" t="inlineStr">
        <is>
          <t>EN ATTENTE</t>
        </is>
      </c>
      <c r="K85" s="2">
        <f>_xlfn.IFNA(_xlfn.XLOOKUP(Table1[[#This Row],[N° BC]],'Commandes Dechargees'!B:B,'Commandes Dechargees'!P:P),"EN ATTENTE DE DECHARGEMENT")</f>
        <v/>
      </c>
    </row>
    <row r="86" ht="25.5" customHeight="1">
      <c r="C86" s="1" t="n">
        <v>46258</v>
      </c>
      <c r="D86" s="2" t="inlineStr">
        <is>
          <t>0082-BC-SHEA/NAP-2026</t>
        </is>
      </c>
      <c r="E86" s="2" t="inlineStr">
        <is>
          <t>FRS00025</t>
        </is>
      </c>
      <c r="F86" s="3">
        <f>_xlfn.XLOOKUP(Table1[[#This Row],[Code Frs]],'CODE FRS'!B:B,'CODE FRS'!C:C)</f>
        <v/>
      </c>
      <c r="G86" s="2" t="inlineStr">
        <is>
          <t>BP6016RB/BB1424RB</t>
        </is>
      </c>
      <c r="H86" s="2" t="n">
        <v>144032700</v>
      </c>
      <c r="I86" s="2" t="n">
        <v>45</v>
      </c>
      <c r="J86" s="2" t="inlineStr">
        <is>
          <t>APROUVE</t>
        </is>
      </c>
      <c r="K86" s="2">
        <f>_xlfn.IFNA(_xlfn.XLOOKUP(Table1[[#This Row],[N° BC]],'Commandes Dechargees'!B:B,'Commandes Dechargees'!P:P),"EN ATTENTE DE DECHARGEMENT")</f>
        <v/>
      </c>
    </row>
    <row r="87" ht="25.5" customHeight="1">
      <c r="C87" s="1" t="n">
        <v>46258</v>
      </c>
      <c r="D87" s="2" t="inlineStr">
        <is>
          <t>0083-BC-SHEA/NAP-2026</t>
        </is>
      </c>
      <c r="E87" s="2" t="inlineStr">
        <is>
          <t>FRS00020</t>
        </is>
      </c>
      <c r="F87" s="3">
        <f>_xlfn.XLOOKUP(Table1[[#This Row],[Code Frs]],'CODE FRS'!B:B,'CODE FRS'!C:C)</f>
        <v/>
      </c>
      <c r="G87" s="2" t="inlineStr">
        <is>
          <t>CF1589RB/BS9736RB</t>
        </is>
      </c>
      <c r="H87" s="2" t="n">
        <v>169403795</v>
      </c>
      <c r="I87" s="2" t="n">
        <v>45</v>
      </c>
      <c r="J87" s="2" t="inlineStr">
        <is>
          <t>APROUVE</t>
        </is>
      </c>
      <c r="K87" s="2">
        <f>_xlfn.IFNA(_xlfn.XLOOKUP(Table1[[#This Row],[N° BC]],'Commandes Dechargees'!B:B,'Commandes Dechargees'!P:P),"EN ATTENTE DE DECHARGEMENT")</f>
        <v/>
      </c>
    </row>
    <row r="88" ht="25.5" customHeight="1">
      <c r="C88" s="1" t="n">
        <v>46258</v>
      </c>
      <c r="D88" s="2" t="inlineStr">
        <is>
          <t>0084-BC-SHEA/NAP-2026</t>
        </is>
      </c>
      <c r="E88" s="2" t="inlineStr">
        <is>
          <t>FRS00026</t>
        </is>
      </c>
      <c r="F88" s="3">
        <f>_xlfn.XLOOKUP(Table1[[#This Row],[Code Frs]],'CODE FRS'!B:B,'CODE FRS'!C:C)</f>
        <v/>
      </c>
      <c r="G88" s="2" t="inlineStr">
        <is>
          <t>CK6314RB/CK6312RB</t>
        </is>
      </c>
      <c r="H88" s="2" t="n">
        <v>196794484</v>
      </c>
      <c r="I88" s="2" t="n">
        <v>50</v>
      </c>
      <c r="J88" s="2" t="inlineStr">
        <is>
          <t>EN ATTENTE</t>
        </is>
      </c>
      <c r="K88" s="2">
        <f>_xlfn.IFNA(_xlfn.XLOOKUP(Table1[[#This Row],[N° BC]],'Commandes Dechargees'!B:B,'Commandes Dechargees'!P:P),"EN ATTENTE DE DECHARGEMENT")</f>
        <v/>
      </c>
    </row>
    <row r="89" ht="25.5" customHeight="1">
      <c r="C89" s="1" t="n">
        <v>46258</v>
      </c>
      <c r="D89" s="2" t="inlineStr">
        <is>
          <t>0085-BC-SHEA/NAP-2026</t>
        </is>
      </c>
      <c r="E89" s="2" t="inlineStr">
        <is>
          <t>FRS00027</t>
        </is>
      </c>
      <c r="F89" s="3">
        <f>_xlfn.XLOOKUP(Table1[[#This Row],[Code Frs]],'CODE FRS'!B:B,'CODE FRS'!C:C)</f>
        <v/>
      </c>
      <c r="G89" s="2" t="inlineStr">
        <is>
          <t>AX3391RB/AT2651RB</t>
        </is>
      </c>
      <c r="H89" s="2" t="n">
        <v>197630157</v>
      </c>
      <c r="I89" s="2" t="n">
        <v>50</v>
      </c>
      <c r="J89" s="2" t="inlineStr">
        <is>
          <t>EN ATTENTE</t>
        </is>
      </c>
      <c r="K89" s="2">
        <f>_xlfn.IFNA(_xlfn.XLOOKUP(Table1[[#This Row],[N° BC]],'Commandes Dechargees'!B:B,'Commandes Dechargees'!P:P),"EN ATTENTE DE DECHARGEMENT")</f>
        <v/>
      </c>
    </row>
    <row r="90" ht="25.5" customHeight="1">
      <c r="C90" s="1" t="n">
        <v>46258</v>
      </c>
      <c r="D90" s="2" t="inlineStr">
        <is>
          <t>0086-BC-SHEA/NAP-2026</t>
        </is>
      </c>
      <c r="E90" s="2" t="inlineStr">
        <is>
          <t>FRS00016</t>
        </is>
      </c>
      <c r="F90" s="3">
        <f>_xlfn.XLOOKUP(Table1[[#This Row],[Code Frs]],'CODE FRS'!B:B,'CODE FRS'!C:C)</f>
        <v/>
      </c>
      <c r="G90" s="2" t="inlineStr">
        <is>
          <t>CC9207RB/CG3619RB</t>
        </is>
      </c>
      <c r="H90" s="2" t="n">
        <v>141224742</v>
      </c>
      <c r="I90" s="2" t="n">
        <v>50</v>
      </c>
      <c r="J90" s="2" t="inlineStr">
        <is>
          <t>APROUVE</t>
        </is>
      </c>
      <c r="K90" s="2">
        <f>_xlfn.IFNA(_xlfn.XLOOKUP(Table1[[#This Row],[N° BC]],'Commandes Dechargees'!B:B,'Commandes Dechargees'!P:P),"EN ATTENTE DE DECHARGEMENT")</f>
        <v/>
      </c>
    </row>
    <row r="91" ht="25.5" customHeight="1">
      <c r="C91" s="1" t="n">
        <v>46258</v>
      </c>
      <c r="D91" s="2" t="inlineStr">
        <is>
          <t>0087-BC-SHEA/NAP-2026</t>
        </is>
      </c>
      <c r="E91" s="2" t="inlineStr">
        <is>
          <t>FRS00021</t>
        </is>
      </c>
      <c r="F91" s="3">
        <f>_xlfn.XLOOKUP(Table1[[#This Row],[Code Frs]],'CODE FRS'!B:B,'CODE FRS'!C:C)</f>
        <v/>
      </c>
      <c r="G91" s="2" t="inlineStr">
        <is>
          <t xml:space="preserve"> AU8941RB/AZ4819RB</t>
        </is>
      </c>
      <c r="H91" s="2" t="n">
        <v>192789907</v>
      </c>
      <c r="I91" s="2" t="n">
        <v>50</v>
      </c>
      <c r="J91" s="2" t="inlineStr">
        <is>
          <t>EN ATTENTE</t>
        </is>
      </c>
      <c r="K91" s="2">
        <f>_xlfn.IFNA(_xlfn.XLOOKUP(Table1[[#This Row],[N° BC]],'Commandes Dechargees'!B:B,'Commandes Dechargees'!P:P),"EN ATTENTE DE DECHARGEMENT")</f>
        <v/>
      </c>
    </row>
    <row r="92" ht="25.5" customHeight="1">
      <c r="C92" s="1" t="n">
        <v>46258</v>
      </c>
      <c r="D92" s="2" t="inlineStr">
        <is>
          <t>0088-BC-SHEA/NAP-2026</t>
        </is>
      </c>
      <c r="E92" s="2" t="inlineStr">
        <is>
          <t>FRS00028</t>
        </is>
      </c>
      <c r="F92" s="3">
        <f>_xlfn.XLOOKUP(Table1[[#This Row],[Code Frs]],'CODE FRS'!B:B,'CODE FRS'!C:C)</f>
        <v/>
      </c>
      <c r="G92" s="2" t="inlineStr">
        <is>
          <t>BG1751RB/AY8891RB</t>
        </is>
      </c>
      <c r="H92" s="2" t="n">
        <v>197135003</v>
      </c>
      <c r="I92" s="2" t="n">
        <v>50</v>
      </c>
      <c r="J92" s="2" t="inlineStr">
        <is>
          <t>APROUVE</t>
        </is>
      </c>
      <c r="K92" s="2">
        <f>_xlfn.IFNA(_xlfn.XLOOKUP(Table1[[#This Row],[N° BC]],'Commandes Dechargees'!B:B,'Commandes Dechargees'!P:P),"EN ATTENTE DE DECHARGEMENT")</f>
        <v/>
      </c>
    </row>
    <row r="93" ht="25.5" customHeight="1">
      <c r="C93" s="1" t="n">
        <v>46259</v>
      </c>
      <c r="D93" s="2" t="inlineStr">
        <is>
          <t>0089-BC-SHEA/NAP-2026</t>
        </is>
      </c>
      <c r="E93" s="2" t="inlineStr">
        <is>
          <t>FRS00029</t>
        </is>
      </c>
      <c r="F93" s="3">
        <f>_xlfn.XLOOKUP(Table1[[#This Row],[Code Frs]],'CODE FRS'!B:B,'CODE FRS'!C:C)</f>
        <v/>
      </c>
      <c r="G93" s="2" t="inlineStr">
        <is>
          <t>CA9598RB/AT3703RB</t>
        </is>
      </c>
      <c r="H93" s="2" t="n">
        <v>196403039</v>
      </c>
      <c r="I93" s="2" t="n">
        <v>50</v>
      </c>
      <c r="J93" s="2" t="inlineStr">
        <is>
          <t>EN ATTENTE</t>
        </is>
      </c>
      <c r="K93" s="2">
        <f>_xlfn.IFNA(_xlfn.XLOOKUP(Table1[[#This Row],[N° BC]],'Commandes Dechargees'!B:B,'Commandes Dechargees'!P:P),"EN ATTENTE DE DECHARGEMENT")</f>
        <v/>
      </c>
    </row>
    <row r="94" ht="25.5" customHeight="1">
      <c r="B94" t="inlineStr">
        <is>
          <t>SYLVAIN</t>
        </is>
      </c>
      <c r="C94" s="1" t="n">
        <v>46259</v>
      </c>
      <c r="D94" s="2" t="inlineStr">
        <is>
          <t>0090-BC-SHEA/NAP-2026</t>
        </is>
      </c>
      <c r="E94" s="2" t="inlineStr">
        <is>
          <t>FRS00023</t>
        </is>
      </c>
      <c r="F94" s="3">
        <f>_xlfn.XLOOKUP(Table1[[#This Row],[Code Frs]],'CODE FRS'!B:B,'CODE FRS'!C:C)</f>
        <v/>
      </c>
      <c r="G94" s="2" t="inlineStr">
        <is>
          <t>BZ4700RB/BD8405RB</t>
        </is>
      </c>
      <c r="H94" s="2" t="n">
        <v>195203681</v>
      </c>
      <c r="I94" s="2" t="n">
        <v>50</v>
      </c>
      <c r="J94" s="2" t="inlineStr">
        <is>
          <t>EN ATTENTE</t>
        </is>
      </c>
      <c r="K94" s="2">
        <f>_xlfn.IFNA(_xlfn.XLOOKUP(Table1[[#This Row],[N° BC]],'Commandes Dechargees'!B:B,'Commandes Dechargees'!P:P),"EN ATTENTE DE DECHARGEMENT")</f>
        <v/>
      </c>
    </row>
    <row r="95" ht="25.5" customHeight="1">
      <c r="C95" s="1" t="n">
        <v>46259</v>
      </c>
      <c r="D95" s="2" t="inlineStr">
        <is>
          <t>0091-BC-SHEA/NAP-2026</t>
        </is>
      </c>
      <c r="E95" s="2" t="inlineStr">
        <is>
          <t>FRS00021</t>
        </is>
      </c>
      <c r="F95" s="3">
        <f>_xlfn.XLOOKUP(Table1[[#This Row],[Code Frs]],'CODE FRS'!B:B,'CODE FRS'!C:C)</f>
        <v/>
      </c>
      <c r="G95" s="2" t="inlineStr">
        <is>
          <t>BP2914RB/T8377RB</t>
        </is>
      </c>
      <c r="H95" s="2" t="n">
        <v>147396206</v>
      </c>
      <c r="I95" s="2" t="n">
        <v>50</v>
      </c>
      <c r="J95" s="2" t="inlineStr">
        <is>
          <t>APROUVE</t>
        </is>
      </c>
      <c r="K95" s="2">
        <f>_xlfn.IFNA(_xlfn.XLOOKUP(Table1[[#This Row],[N° BC]],'Commandes Dechargees'!B:B,'Commandes Dechargees'!P:P),"EN ATTENTE DE DECHARGEMENT")</f>
        <v/>
      </c>
    </row>
    <row r="96" ht="25.5" customHeight="1">
      <c r="C96" s="1" t="n">
        <v>46259</v>
      </c>
      <c r="D96" s="2" t="inlineStr">
        <is>
          <t>0092-BC-SHEA/NAP-2026</t>
        </is>
      </c>
      <c r="E96" s="2" t="inlineStr">
        <is>
          <t>FRS00021</t>
        </is>
      </c>
      <c r="F96" s="3">
        <f>_xlfn.XLOOKUP(Table1[[#This Row],[Code Frs]],'CODE FRS'!B:B,'CODE FRS'!C:C)</f>
        <v/>
      </c>
      <c r="G96" s="2" t="inlineStr">
        <is>
          <t>CA6378RB/CA6373RB</t>
        </is>
      </c>
      <c r="H96" s="2" t="n">
        <v>164197050</v>
      </c>
      <c r="I96" s="2" t="n">
        <v>50</v>
      </c>
      <c r="J96" s="2" t="inlineStr">
        <is>
          <t>APROUVE</t>
        </is>
      </c>
      <c r="K96" s="2">
        <f>_xlfn.IFNA(_xlfn.XLOOKUP(Table1[[#This Row],[N° BC]],'Commandes Dechargees'!B:B,'Commandes Dechargees'!P:P),"EN ATTENTE DE DECHARGEMENT")</f>
        <v/>
      </c>
    </row>
    <row r="97" ht="25.5" customHeight="1">
      <c r="C97" s="1" t="n">
        <v>46259</v>
      </c>
      <c r="D97" s="2" t="inlineStr">
        <is>
          <t>0093-BC-SHEA/NAP-2026</t>
        </is>
      </c>
      <c r="E97" s="2" t="inlineStr">
        <is>
          <t>FRS00020</t>
        </is>
      </c>
      <c r="F97" s="3">
        <f>_xlfn.XLOOKUP(Table1[[#This Row],[Code Frs]],'CODE FRS'!B:B,'CODE FRS'!C:C)</f>
        <v/>
      </c>
      <c r="G97" s="2" t="inlineStr">
        <is>
          <t>CL6144RB/Cl6145RB</t>
        </is>
      </c>
      <c r="H97" s="2" t="n">
        <v>160964375</v>
      </c>
      <c r="I97" s="2" t="n">
        <v>50</v>
      </c>
      <c r="J97" s="2" t="inlineStr">
        <is>
          <t>APROUVE</t>
        </is>
      </c>
      <c r="K97" s="2">
        <f>_xlfn.IFNA(_xlfn.XLOOKUP(Table1[[#This Row],[N° BC]],'Commandes Dechargees'!B:B,'Commandes Dechargees'!P:P),"EN ATTENTE DE DECHARGEMENT")</f>
        <v/>
      </c>
    </row>
    <row r="98" ht="25.5" customHeight="1">
      <c r="C98" s="1" t="n">
        <v>46260</v>
      </c>
      <c r="D98" s="2" t="inlineStr">
        <is>
          <t>0094-BC-SHEA/NAP-2026</t>
        </is>
      </c>
      <c r="E98" s="2" t="inlineStr">
        <is>
          <t>FRS00030</t>
        </is>
      </c>
      <c r="F98" s="3">
        <f>_xlfn.XLOOKUP(Table1[[#This Row],[Code Frs]],'CODE FRS'!B:B,'CODE FRS'!C:C)</f>
        <v/>
      </c>
      <c r="G98" s="2" t="inlineStr">
        <is>
          <t>BY2242RB/AF9323RB</t>
        </is>
      </c>
      <c r="H98" s="2" t="n">
        <v>147361593</v>
      </c>
      <c r="I98" s="2" t="n">
        <v>50</v>
      </c>
      <c r="J98" s="2" t="inlineStr">
        <is>
          <t>EN ATTENTE</t>
        </is>
      </c>
      <c r="K98" s="2">
        <f>_xlfn.IFNA(_xlfn.XLOOKUP(Table1[[#This Row],[N° BC]],'Commandes Dechargees'!B:B,'Commandes Dechargees'!P:P),"EN ATTENTE DE DECHARGEMENT")</f>
        <v/>
      </c>
    </row>
    <row r="99" ht="25.5" customHeight="1">
      <c r="C99" s="1" t="n">
        <v>46260</v>
      </c>
      <c r="D99" s="2" t="inlineStr">
        <is>
          <t>0095-BC-SHEA/NAP-2026</t>
        </is>
      </c>
      <c r="E99" s="2" t="inlineStr">
        <is>
          <t>FRS00025</t>
        </is>
      </c>
      <c r="F99" s="3">
        <f>_xlfn.XLOOKUP(Table1[[#This Row],[Code Frs]],'CODE FRS'!B:B,'CODE FRS'!C:C)</f>
        <v/>
      </c>
      <c r="G99" s="2" t="inlineStr">
        <is>
          <t>BV4861RB/BV4862RB</t>
        </is>
      </c>
      <c r="H99" s="2" t="n">
        <v>140563191</v>
      </c>
      <c r="I99" s="2" t="n">
        <v>26</v>
      </c>
      <c r="J99" s="2" t="inlineStr">
        <is>
          <t>REJETE</t>
        </is>
      </c>
      <c r="K99" s="2" t="inlineStr">
        <is>
          <t>REJETE</t>
        </is>
      </c>
    </row>
    <row r="100" ht="25.5" customHeight="1">
      <c r="C100" s="1" t="n">
        <v>46261</v>
      </c>
      <c r="D100" s="2" t="inlineStr">
        <is>
          <t>0096-BC-SHEA/NAP-2026</t>
        </is>
      </c>
      <c r="E100" s="2" t="inlineStr">
        <is>
          <t>FRS00032</t>
        </is>
      </c>
      <c r="F100" s="3">
        <f>_xlfn.XLOOKUP(Table1[[#This Row],[Code Frs]],'CODE FRS'!B:B,'CODE FRS'!C:C)</f>
        <v/>
      </c>
      <c r="G100" s="2" t="inlineStr">
        <is>
          <t>CC4841RB/AP2269RB</t>
        </is>
      </c>
      <c r="H100" s="2" t="n">
        <v>190375507</v>
      </c>
      <c r="I100" s="2" t="n">
        <v>50</v>
      </c>
      <c r="J100" s="2" t="inlineStr">
        <is>
          <t>APROUVE</t>
        </is>
      </c>
      <c r="K100" s="2">
        <f>_xlfn.IFNA(_xlfn.XLOOKUP(Table1[[#This Row],[N° BC]],'Commandes Dechargees'!B:B,'Commandes Dechargees'!P:P),"EN ATTENTE DE DECHARGEMENT")</f>
        <v/>
      </c>
    </row>
    <row r="101" ht="25.5" customHeight="1">
      <c r="C101" s="1" t="n">
        <v>46261</v>
      </c>
      <c r="D101" s="2" t="inlineStr">
        <is>
          <t>0097-BC-SHEA/NAP-2026</t>
        </is>
      </c>
      <c r="E101" s="2" t="inlineStr">
        <is>
          <t>FRS00033</t>
        </is>
      </c>
      <c r="F101" s="3">
        <f>_xlfn.XLOOKUP(Table1[[#This Row],[Code Frs]],'CODE FRS'!B:B,'CODE FRS'!C:C)</f>
        <v/>
      </c>
      <c r="G101" s="2" t="inlineStr">
        <is>
          <t>CD1342RB/BT1490RB</t>
        </is>
      </c>
      <c r="H101" s="2" t="n">
        <v>197077611</v>
      </c>
      <c r="I101" s="2" t="n">
        <v>50</v>
      </c>
      <c r="J101" s="2" t="inlineStr">
        <is>
          <t>EN ATTENTE</t>
        </is>
      </c>
      <c r="K101" s="2">
        <f>_xlfn.IFNA(_xlfn.XLOOKUP(Table1[[#This Row],[N° BC]],'Commandes Dechargees'!B:B,'Commandes Dechargees'!P:P),"EN ATTENTE DE DECHARGEMENT")</f>
        <v/>
      </c>
    </row>
    <row r="102" ht="25.5" customHeight="1">
      <c r="C102" s="1" t="n">
        <v>46261</v>
      </c>
      <c r="D102" s="2" t="inlineStr">
        <is>
          <t>0098-BC-SHEA/NAP-2026</t>
        </is>
      </c>
      <c r="E102" s="2" t="inlineStr">
        <is>
          <t>FRS00020</t>
        </is>
      </c>
      <c r="F102" s="3">
        <f>_xlfn.XLOOKUP(Table1[[#This Row],[Code Frs]],'CODE FRS'!B:B,'CODE FRS'!C:C)</f>
        <v/>
      </c>
      <c r="G102" s="2" t="inlineStr">
        <is>
          <t>BU4105RB/BS8146RB</t>
        </is>
      </c>
      <c r="H102" s="2" t="n">
        <v>141364776</v>
      </c>
      <c r="I102" s="2" t="n">
        <v>50</v>
      </c>
      <c r="J102" s="2" t="inlineStr">
        <is>
          <t>APROUVE</t>
        </is>
      </c>
      <c r="K102" s="2">
        <f>_xlfn.IFNA(_xlfn.XLOOKUP(Table1[[#This Row],[N° BC]],'Commandes Dechargees'!B:B,'Commandes Dechargees'!P:P),"EN ATTENTE DE DECHARGEMENT")</f>
        <v/>
      </c>
    </row>
    <row r="103" ht="25.5" customHeight="1">
      <c r="C103" s="1" t="n">
        <v>46261</v>
      </c>
      <c r="D103" s="2" t="inlineStr">
        <is>
          <t>0099-BC-SHEA/NAP-2026</t>
        </is>
      </c>
      <c r="E103" s="2" t="inlineStr">
        <is>
          <t>FRS00019</t>
        </is>
      </c>
      <c r="F103" s="3">
        <f>_xlfn.XLOOKUP(Table1[[#This Row],[Code Frs]],'CODE FRS'!B:B,'CODE FRS'!C:C)</f>
        <v/>
      </c>
      <c r="G103" s="2" t="inlineStr">
        <is>
          <t>CE6245RB/BT9604RB</t>
        </is>
      </c>
      <c r="H103" s="2" t="n">
        <v>140865057</v>
      </c>
      <c r="I103" s="2" t="n">
        <v>50</v>
      </c>
      <c r="J103" s="2" t="inlineStr">
        <is>
          <t>APROUVE</t>
        </is>
      </c>
      <c r="K103" s="2">
        <f>_xlfn.IFNA(_xlfn.XLOOKUP(Table1[[#This Row],[N° BC]],'Commandes Dechargees'!B:B,'Commandes Dechargees'!P:P),"EN ATTENTE DE DECHARGEMENT")</f>
        <v/>
      </c>
    </row>
    <row r="104" ht="25.5" customHeight="1">
      <c r="C104" s="1" t="n">
        <v>46261</v>
      </c>
      <c r="D104" s="2" t="inlineStr">
        <is>
          <t>0100-BC-SHEA/NAP-2026</t>
        </is>
      </c>
      <c r="E104" s="2" t="inlineStr">
        <is>
          <t>FRS00021</t>
        </is>
      </c>
      <c r="F104" s="3">
        <f>_xlfn.XLOOKUP(Table1[[#This Row],[Code Frs]],'CODE FRS'!B:B,'CODE FRS'!C:C)</f>
        <v/>
      </c>
      <c r="G104" s="2" t="inlineStr">
        <is>
          <t>CA4699RB/CA5733RB</t>
        </is>
      </c>
      <c r="H104" s="2" t="n">
        <v>143040567</v>
      </c>
      <c r="I104" s="2" t="n">
        <v>40</v>
      </c>
      <c r="J104" s="2" t="inlineStr">
        <is>
          <t>EN ATTENTE</t>
        </is>
      </c>
      <c r="K104" s="2">
        <f>_xlfn.IFNA(_xlfn.XLOOKUP(Table1[[#This Row],[N° BC]],'Commandes Dechargees'!B:B,'Commandes Dechargees'!P:P),"EN ATTENTE DE DECHARGEMENT")</f>
        <v/>
      </c>
    </row>
    <row r="105" ht="25.5" customHeight="1">
      <c r="C105" s="1" t="n">
        <v>46261</v>
      </c>
      <c r="D105" s="2" t="inlineStr">
        <is>
          <t>0101-BC-SHEA/NAP-2026</t>
        </is>
      </c>
      <c r="E105" s="2" t="inlineStr">
        <is>
          <t>FRS00001</t>
        </is>
      </c>
      <c r="F105" s="3">
        <f>_xlfn.XLOOKUP(Table1[[#This Row],[Code Frs]],'CODE FRS'!B:B,'CODE FRS'!C:C)</f>
        <v/>
      </c>
      <c r="G105" s="2" t="inlineStr">
        <is>
          <t>BV6373RB/AB3109RB</t>
        </is>
      </c>
      <c r="H105" s="2" t="n">
        <v>143935990</v>
      </c>
      <c r="I105" s="2" t="n">
        <v>40</v>
      </c>
      <c r="J105" s="2" t="inlineStr">
        <is>
          <t>APROUVE</t>
        </is>
      </c>
      <c r="K105" s="2">
        <f>_xlfn.IFNA(_xlfn.XLOOKUP(Table1[[#This Row],[N° BC]],'Commandes Dechargees'!B:B,'Commandes Dechargees'!P:P),"EN ATTENTE DE DECHARGEMENT")</f>
        <v/>
      </c>
    </row>
    <row r="106" ht="25.5" customHeight="1">
      <c r="C106" s="1" t="n">
        <v>46262</v>
      </c>
      <c r="D106" s="2" t="inlineStr">
        <is>
          <t>0102-BC-SHEA/NAP-2026</t>
        </is>
      </c>
      <c r="E106" s="2" t="inlineStr">
        <is>
          <t>FRS00022</t>
        </is>
      </c>
      <c r="F106" s="3">
        <f>_xlfn.XLOOKUP(Table1[[#This Row],[Code Frs]],'CODE FRS'!B:B,'CODE FRS'!C:C)</f>
        <v/>
      </c>
      <c r="G106" s="2" t="inlineStr">
        <is>
          <t>AN8637RB/AD0023RB</t>
        </is>
      </c>
      <c r="H106" s="2" t="n">
        <v>141644743</v>
      </c>
      <c r="I106" s="2" t="n">
        <v>45</v>
      </c>
      <c r="J106" s="2" t="inlineStr">
        <is>
          <t>EN ATTENTE</t>
        </is>
      </c>
      <c r="K106" s="2">
        <f>_xlfn.IFNA(_xlfn.XLOOKUP(Table1[[#This Row],[N° BC]],'Commandes Dechargees'!B:B,'Commandes Dechargees'!P:P),"EN ATTENTE DE DECHARGEMENT")</f>
        <v/>
      </c>
    </row>
    <row r="107" ht="25.5" customHeight="1">
      <c r="C107" s="1" t="n">
        <v>46262</v>
      </c>
      <c r="D107" s="2" t="inlineStr">
        <is>
          <t>0103-BC-SHEA/NAP-2026</t>
        </is>
      </c>
      <c r="E107" s="2" t="inlineStr">
        <is>
          <t>FRS00022</t>
        </is>
      </c>
      <c r="F107" s="3">
        <f>_xlfn.XLOOKUP(Table1[[#This Row],[Code Frs]],'CODE FRS'!B:B,'CODE FRS'!C:C)</f>
        <v/>
      </c>
      <c r="G107" s="2" t="inlineStr">
        <is>
          <t>ƁU2205RB/BC8445RB</t>
        </is>
      </c>
      <c r="H107" s="2" t="n">
        <v>197990265</v>
      </c>
      <c r="I107" s="2" t="n">
        <v>50</v>
      </c>
      <c r="J107" s="2" t="inlineStr">
        <is>
          <t>EN ATTENTE</t>
        </is>
      </c>
      <c r="K107" s="2">
        <f>_xlfn.IFNA(_xlfn.XLOOKUP(Table1[[#This Row],[N° BC]],'Commandes Dechargees'!B:B,'Commandes Dechargees'!P:P),"EN ATTENTE DE DECHARGEMENT")</f>
        <v/>
      </c>
    </row>
    <row r="108" ht="25.5" customHeight="1">
      <c r="C108" s="1" t="n">
        <v>46263</v>
      </c>
      <c r="D108" s="2" t="inlineStr">
        <is>
          <t>0104-BC-SHEA/NAP-2026</t>
        </is>
      </c>
      <c r="E108" s="2" t="inlineStr">
        <is>
          <t>FRS00032</t>
        </is>
      </c>
      <c r="F108" s="3">
        <f>_xlfn.XLOOKUP(Table1[[#This Row],[Code Frs]],'CODE FRS'!B:B,'CODE FRS'!C:C)</f>
        <v/>
      </c>
      <c r="G108" s="2" t="inlineStr">
        <is>
          <t>CF0609RB/0565RB</t>
        </is>
      </c>
      <c r="H108" s="2" t="n">
        <v>195627243</v>
      </c>
      <c r="I108" s="2" t="n">
        <v>50</v>
      </c>
      <c r="J108" s="2" t="inlineStr">
        <is>
          <t>APROUVE</t>
        </is>
      </c>
      <c r="K108" s="2">
        <f>_xlfn.IFNA(_xlfn.XLOOKUP(Table1[[#This Row],[N° BC]],'Commandes Dechargees'!B:B,'Commandes Dechargees'!P:P),"EN ATTENTE DE DECHARGEMENT")</f>
        <v/>
      </c>
    </row>
    <row r="109" ht="25.5" customHeight="1">
      <c r="C109" s="1" t="n">
        <v>46263</v>
      </c>
      <c r="D109" s="2" t="inlineStr">
        <is>
          <t>0105-BC-SHEA/NAP-2026</t>
        </is>
      </c>
      <c r="E109" s="2" t="inlineStr">
        <is>
          <t>FRS00025</t>
        </is>
      </c>
      <c r="F109" s="3">
        <f>_xlfn.XLOOKUP(Table1[[#This Row],[Code Frs]],'CODE FRS'!B:B,'CODE FRS'!C:C)</f>
        <v/>
      </c>
      <c r="G109" s="2" t="inlineStr">
        <is>
          <t>BE4064RB/AN2472RB</t>
        </is>
      </c>
      <c r="H109" s="2" t="n">
        <v>192601383</v>
      </c>
      <c r="I109" s="2" t="n">
        <v>23</v>
      </c>
      <c r="J109" s="2" t="inlineStr">
        <is>
          <t>EN ATTENTE</t>
        </is>
      </c>
      <c r="K109" s="2">
        <f>_xlfn.IFNA(_xlfn.XLOOKUP(Table1[[#This Row],[N° BC]],'Commandes Dechargees'!B:B,'Commandes Dechargees'!P:P),"EN ATTENTE DE DECHARGEMENT")</f>
        <v/>
      </c>
    </row>
    <row r="110" ht="25.5" customHeight="1">
      <c r="C110" s="1" t="n">
        <v>46265</v>
      </c>
      <c r="D110" s="2" t="inlineStr">
        <is>
          <t>0106-BC-SHEA/NAP-2026</t>
        </is>
      </c>
      <c r="E110" s="2" t="inlineStr">
        <is>
          <t>FRS00016</t>
        </is>
      </c>
      <c r="F110" s="3">
        <f>_xlfn.XLOOKUP(Table1[[#This Row],[Code Frs]],'CODE FRS'!B:B,'CODE FRS'!C:C)</f>
        <v/>
      </c>
      <c r="G110" s="2" t="inlineStr">
        <is>
          <t>BJ0371RB/AH9481RB</t>
        </is>
      </c>
      <c r="H110" s="2" t="n">
        <v>197401647</v>
      </c>
      <c r="I110" s="2" t="n">
        <v>50</v>
      </c>
      <c r="J110" s="2" t="inlineStr">
        <is>
          <t>APROUVE</t>
        </is>
      </c>
      <c r="K110" s="2">
        <f>_xlfn.IFNA(_xlfn.XLOOKUP(Table1[[#This Row],[N° BC]],'Commandes Dechargees'!B:B,'Commandes Dechargees'!P:P),"EN ATTENTE DE DECHARGEMENT")</f>
        <v/>
      </c>
    </row>
    <row r="111" ht="25.5" customHeight="1">
      <c r="C111" s="1" t="n">
        <v>46265</v>
      </c>
      <c r="D111" s="2" t="inlineStr">
        <is>
          <t>0107-BC-SHEA/NAP-2026</t>
        </is>
      </c>
      <c r="E111" s="2" t="inlineStr">
        <is>
          <t>FRS00016</t>
        </is>
      </c>
      <c r="F111" s="3">
        <f>_xlfn.XLOOKUP(Table1[[#This Row],[Code Frs]],'CODE FRS'!B:B,'CODE FRS'!C:C)</f>
        <v/>
      </c>
      <c r="G111" s="2" t="inlineStr">
        <is>
          <t>BR1679RB/AZ2904RB</t>
        </is>
      </c>
      <c r="H111" s="2" t="n">
        <v>140270310</v>
      </c>
      <c r="I111" s="2" t="n">
        <v>50</v>
      </c>
      <c r="J111" s="2" t="inlineStr">
        <is>
          <t>APROUVE</t>
        </is>
      </c>
      <c r="K111" s="2">
        <f>_xlfn.IFNA(_xlfn.XLOOKUP(Table1[[#This Row],[N° BC]],'Commandes Dechargees'!B:B,'Commandes Dechargees'!P:P),"EN ATTENTE DE DECHARGEMENT")</f>
        <v/>
      </c>
    </row>
    <row r="112" ht="25.5" customHeight="1">
      <c r="C112" s="1" t="n">
        <v>46265</v>
      </c>
      <c r="D112" s="2" t="inlineStr">
        <is>
          <t>0108-BC-SHEA/NAP-2026</t>
        </is>
      </c>
      <c r="E112" s="2" t="inlineStr">
        <is>
          <t>FRS00010</t>
        </is>
      </c>
      <c r="F112" s="3">
        <f>_xlfn.XLOOKUP(Table1[[#This Row],[Code Frs]],'CODE FRS'!B:B,'CODE FRS'!C:C)</f>
        <v/>
      </c>
      <c r="G112" s="2" t="inlineStr">
        <is>
          <t>BT4057RB/BH1734RB</t>
        </is>
      </c>
      <c r="H112" s="2" t="n">
        <v>194026558</v>
      </c>
      <c r="I112" s="2" t="n">
        <v>45</v>
      </c>
      <c r="J112" s="2" t="inlineStr">
        <is>
          <t>EN ATTENTE</t>
        </is>
      </c>
      <c r="K112" s="2">
        <f>_xlfn.IFNA(_xlfn.XLOOKUP(Table1[[#This Row],[N° BC]],'Commandes Dechargees'!B:B,'Commandes Dechargees'!P:P),"EN ATTENTE DE DECHARGEMENT")</f>
        <v/>
      </c>
    </row>
    <row r="113" ht="25.5" customHeight="1">
      <c r="C113" s="1" t="n">
        <v>46265</v>
      </c>
      <c r="D113" s="2" t="inlineStr">
        <is>
          <t>0109-BC-SHEA/NAP-2026</t>
        </is>
      </c>
      <c r="E113" s="2" t="inlineStr">
        <is>
          <t>FRS00021</t>
        </is>
      </c>
      <c r="F113" s="3">
        <f>_xlfn.XLOOKUP(Table1[[#This Row],[Code Frs]],'CODE FRS'!B:B,'CODE FRS'!C:C)</f>
        <v/>
      </c>
      <c r="G113" s="2" t="inlineStr">
        <is>
          <t>CF5787RB/BY2104RB</t>
        </is>
      </c>
      <c r="H113" s="2" t="n">
        <v>197995642</v>
      </c>
      <c r="I113" s="2" t="n">
        <v>40</v>
      </c>
      <c r="J113" s="2" t="inlineStr">
        <is>
          <t>EN ATTENTE</t>
        </is>
      </c>
      <c r="K113" s="2">
        <f>_xlfn.IFNA(_xlfn.XLOOKUP(Table1[[#This Row],[N° BC]],'Commandes Dechargees'!B:B,'Commandes Dechargees'!P:P),"EN ATTENTE DE DECHARGEMENT")</f>
        <v/>
      </c>
    </row>
    <row r="114" ht="25.5" customHeight="1">
      <c r="C114" s="24" t="n">
        <v>46265</v>
      </c>
      <c r="D114" s="2" t="inlineStr">
        <is>
          <t>0110-BC-SHEA/NAP-2026</t>
        </is>
      </c>
      <c r="E114" s="2" t="inlineStr">
        <is>
          <t>FRS00021</t>
        </is>
      </c>
      <c r="F114" s="3">
        <f>_xlfn.XLOOKUP(Table1[[#This Row],[Code Frs]],'CODE FRS'!B:B,'CODE FRS'!C:C)</f>
        <v/>
      </c>
      <c r="G114" s="2" t="inlineStr">
        <is>
          <t>BB3603RB/AY1488RB</t>
        </is>
      </c>
      <c r="H114" s="2" t="n">
        <v>161346460</v>
      </c>
      <c r="I114" s="2" t="n">
        <v>50</v>
      </c>
      <c r="J114" s="2" t="inlineStr">
        <is>
          <t>EN ATTENTE</t>
        </is>
      </c>
      <c r="K114" s="2">
        <f>_xlfn.IFNA(_xlfn.XLOOKUP(Table1[[#This Row],[N° BC]],'Commandes Dechargees'!B:B,'Commandes Dechargees'!P:P),"EN ATTENTE DE DECHARGEMENT")</f>
        <v/>
      </c>
    </row>
    <row r="115" ht="25.5" customHeight="1">
      <c r="C115" s="24" t="n">
        <v>46265</v>
      </c>
      <c r="D115" s="2" t="inlineStr">
        <is>
          <t>0111-BC-SHEA/NAP-2026</t>
        </is>
      </c>
      <c r="E115" s="2" t="inlineStr">
        <is>
          <t>FRS00034</t>
        </is>
      </c>
      <c r="F115" s="3">
        <f>_xlfn.XLOOKUP(Table1[[#This Row],[Code Frs]],'CODE FRS'!B:B,'CODE FRS'!C:C)</f>
        <v/>
      </c>
      <c r="G115" s="2" t="inlineStr">
        <is>
          <t xml:space="preserve"> CD6560RB/AS9619RB</t>
        </is>
      </c>
      <c r="H115" s="2" t="n">
        <v>169577598</v>
      </c>
      <c r="I115" s="2" t="n">
        <v>50</v>
      </c>
      <c r="J115" s="2" t="inlineStr">
        <is>
          <t>APROUVE</t>
        </is>
      </c>
      <c r="K115" s="2">
        <f>_xlfn.IFNA(_xlfn.XLOOKUP(Table1[[#This Row],[N° BC]],'Commandes Dechargees'!B:B,'Commandes Dechargees'!P:P),"EN ATTENTE DE DECHARGEMENT")</f>
        <v/>
      </c>
    </row>
    <row r="116" ht="25.5" customHeight="1">
      <c r="C116" s="24" t="n">
        <v>46265</v>
      </c>
      <c r="D116" s="2" t="inlineStr">
        <is>
          <t>0112-BC-SHEA/NAP-2026</t>
        </is>
      </c>
      <c r="E116" s="2" t="inlineStr">
        <is>
          <t>FRS00008</t>
        </is>
      </c>
      <c r="F116" s="3">
        <f>_xlfn.XLOOKUP(Table1[[#This Row],[Code Frs]],'CODE FRS'!B:B,'CODE FRS'!C:C)</f>
        <v/>
      </c>
      <c r="G116" s="2" t="inlineStr">
        <is>
          <t>CB6668RB/CC2899RB</t>
        </is>
      </c>
      <c r="H116" s="2" t="n">
        <v>196321044</v>
      </c>
      <c r="I116" s="2" t="n">
        <v>50</v>
      </c>
      <c r="J116" s="2" t="inlineStr">
        <is>
          <t>EN ATTENTE</t>
        </is>
      </c>
      <c r="K116" s="2">
        <f>_xlfn.IFNA(_xlfn.XLOOKUP(Table1[[#This Row],[N° BC]],'Commandes Dechargees'!B:B,'Commandes Dechargees'!P:P),"EN ATTENTE DE DECHARGEMENT")</f>
        <v/>
      </c>
    </row>
    <row r="117" ht="25.5" customHeight="1">
      <c r="C117" s="24" t="n">
        <v>46266</v>
      </c>
      <c r="D117" s="2" t="inlineStr">
        <is>
          <t>0113-BC-SHEA/NAP-2026</t>
        </is>
      </c>
      <c r="E117" s="2" t="inlineStr">
        <is>
          <t>FRS00036</t>
        </is>
      </c>
      <c r="F117" s="3">
        <f>_xlfn.XLOOKUP(Table1[[#This Row],[Code Frs]],'CODE FRS'!B:B,'CODE FRS'!C:C)</f>
        <v/>
      </c>
      <c r="G117" s="2" t="inlineStr">
        <is>
          <t>BR3872RB/BV3758RB</t>
        </is>
      </c>
      <c r="H117" s="2" t="n">
        <v>167320348</v>
      </c>
      <c r="I117" s="2" t="n">
        <v>50</v>
      </c>
      <c r="J117" s="2" t="inlineStr">
        <is>
          <t>EN ATTENTE</t>
        </is>
      </c>
      <c r="K117" s="2">
        <f>_xlfn.IFNA(_xlfn.XLOOKUP(Table1[[#This Row],[N° BC]],'Commandes Dechargees'!B:B,'Commandes Dechargees'!P:P),"EN ATTENTE DE DECHARGEMENT")</f>
        <v/>
      </c>
    </row>
    <row r="118" ht="25.5" customHeight="1">
      <c r="C118" s="24" t="n">
        <v>46266</v>
      </c>
      <c r="D118" s="2" t="inlineStr">
        <is>
          <t>0114-BC-SHEA/NAP-2026</t>
        </is>
      </c>
      <c r="E118" s="2" t="inlineStr">
        <is>
          <t>FRS00016</t>
        </is>
      </c>
      <c r="F118" s="3">
        <f>_xlfn.XLOOKUP(Table1[[#This Row],[Code Frs]],'CODE FRS'!B:B,'CODE FRS'!C:C)</f>
        <v/>
      </c>
      <c r="G118" s="2" t="inlineStr">
        <is>
          <t>CB2771RB/BV2923RB</t>
        </is>
      </c>
      <c r="H118" s="2" t="n">
        <v>128340027</v>
      </c>
      <c r="I118" s="2" t="n">
        <v>50</v>
      </c>
      <c r="J118" s="2" t="inlineStr">
        <is>
          <t>APROUVE</t>
        </is>
      </c>
      <c r="K118" s="2">
        <f>_xlfn.IFNA(_xlfn.XLOOKUP(Table1[[#This Row],[N° BC]],'Commandes Dechargees'!B:B,'Commandes Dechargees'!P:P),"EN ATTENTE DE DECHARGEMENT")</f>
        <v/>
      </c>
    </row>
    <row r="119" ht="25.5" customHeight="1">
      <c r="C119" s="24" t="n">
        <v>46266</v>
      </c>
      <c r="D119" s="2" t="inlineStr">
        <is>
          <t>0115-BC-SHEA/NAP-2026</t>
        </is>
      </c>
      <c r="E119" s="2" t="inlineStr">
        <is>
          <t>FRS00037</t>
        </is>
      </c>
      <c r="F119" s="3">
        <f>_xlfn.XLOOKUP(Table1[[#This Row],[Code Frs]],'CODE FRS'!B:B,'CODE FRS'!C:C)</f>
        <v/>
      </c>
      <c r="G119" s="2" t="inlineStr">
        <is>
          <t>BC6553RB/BC6554RB</t>
        </is>
      </c>
      <c r="H119" s="2" t="n">
        <v>195207012</v>
      </c>
      <c r="I119" s="2" t="n">
        <v>32</v>
      </c>
      <c r="J119" s="2" t="inlineStr">
        <is>
          <t>APROUVE</t>
        </is>
      </c>
      <c r="K119" s="2">
        <f>_xlfn.IFNA(_xlfn.XLOOKUP(Table1[[#This Row],[N° BC]],'Commandes Dechargees'!B:B,'Commandes Dechargees'!P:P),"EN ATTENTE DE DECHARGEMENT")</f>
        <v/>
      </c>
    </row>
    <row r="120" ht="25.5" customHeight="1">
      <c r="C120" s="24" t="n">
        <v>46266</v>
      </c>
      <c r="D120" s="2" t="inlineStr">
        <is>
          <t>0116-BC-SHEA/NAP-2026</t>
        </is>
      </c>
      <c r="E120" s="2" t="inlineStr">
        <is>
          <t>FRS00021</t>
        </is>
      </c>
      <c r="F120" s="3">
        <f>_xlfn.XLOOKUP(Table1[[#This Row],[Code Frs]],'CODE FRS'!B:B,'CODE FRS'!C:C)</f>
        <v/>
      </c>
      <c r="G120" s="2" t="inlineStr">
        <is>
          <t>BA6457RB/AF5349RB</t>
        </is>
      </c>
      <c r="H120" s="2" t="n">
        <v>196416063</v>
      </c>
      <c r="I120" s="2" t="n">
        <v>42</v>
      </c>
      <c r="J120" s="2" t="inlineStr">
        <is>
          <t>APROUVE</t>
        </is>
      </c>
      <c r="K120" s="2">
        <f>_xlfn.IFNA(_xlfn.XLOOKUP(Table1[[#This Row],[N° BC]],'Commandes Dechargees'!B:B,'Commandes Dechargees'!P:P),"EN ATTENTE DE DECHARGEMENT")</f>
        <v/>
      </c>
    </row>
    <row r="121" ht="25.5" customHeight="1">
      <c r="C121" s="24" t="n">
        <v>46266</v>
      </c>
      <c r="D121" s="2" t="inlineStr">
        <is>
          <t>0117-BC-SHEA/NAP-2026</t>
        </is>
      </c>
      <c r="E121" s="2" t="inlineStr">
        <is>
          <t>FRS00004</t>
        </is>
      </c>
      <c r="F121" s="3">
        <f>_xlfn.XLOOKUP(Table1[[#This Row],[Code Frs]],'CODE FRS'!B:B,'CODE FRS'!C:C)</f>
        <v/>
      </c>
      <c r="G121" s="2" t="inlineStr">
        <is>
          <t>CC4207RB/CD6286RB</t>
        </is>
      </c>
      <c r="H121" s="2" t="n">
        <v>166220268</v>
      </c>
      <c r="I121" s="2" t="n">
        <v>50</v>
      </c>
      <c r="J121" s="2" t="inlineStr">
        <is>
          <t>APROUVE</t>
        </is>
      </c>
      <c r="K121" s="2">
        <f>_xlfn.IFNA(_xlfn.XLOOKUP(Table1[[#This Row],[N° BC]],'Commandes Dechargees'!B:B,'Commandes Dechargees'!P:P),"EN ATTENTE DE DECHARGEMENT")</f>
        <v/>
      </c>
    </row>
    <row r="122" ht="25.5" customHeight="1">
      <c r="C122" s="24" t="n">
        <v>46266</v>
      </c>
      <c r="D122" s="2" t="inlineStr">
        <is>
          <t>0118-BC-SHEA/NAP-2026</t>
        </is>
      </c>
      <c r="E122" s="2" t="inlineStr">
        <is>
          <t>FRS00038</t>
        </is>
      </c>
      <c r="F122" s="3">
        <f>_xlfn.XLOOKUP(Table1[[#This Row],[Code Frs]],'CODE FRS'!B:B,'CODE FRS'!C:C)</f>
        <v/>
      </c>
      <c r="G122" s="2" t="inlineStr">
        <is>
          <t>BT2729RB/BT2986RB</t>
        </is>
      </c>
      <c r="H122" s="2" t="n">
        <v>195889495</v>
      </c>
      <c r="I122" s="2" t="n">
        <v>50</v>
      </c>
      <c r="J122" s="2" t="inlineStr">
        <is>
          <t>EN ATTENTE</t>
        </is>
      </c>
      <c r="K122" s="2">
        <f>_xlfn.IFNA(_xlfn.XLOOKUP(Table1[[#This Row],[N° BC]],'Commandes Dechargees'!B:B,'Commandes Dechargees'!P:P),"EN ATTENTE DE DECHARGEMENT")</f>
        <v/>
      </c>
    </row>
    <row r="123" ht="25.5" customHeight="1">
      <c r="C123" s="24" t="n">
        <v>46266</v>
      </c>
      <c r="D123" s="2" t="inlineStr">
        <is>
          <t>0119-BC-SHEA/NAP-2026</t>
        </is>
      </c>
      <c r="E123" s="2" t="inlineStr">
        <is>
          <t>FRS00039</t>
        </is>
      </c>
      <c r="F123" s="3">
        <f>_xlfn.XLOOKUP(Table1[[#This Row],[Code Frs]],'CODE FRS'!B:B,'CODE FRS'!C:C)</f>
        <v/>
      </c>
      <c r="G123" s="2" t="inlineStr">
        <is>
          <t>BX8487RB/ BS9645RB</t>
        </is>
      </c>
      <c r="H123" s="2" t="n">
        <v>194203500</v>
      </c>
      <c r="I123" s="2" t="n">
        <v>50</v>
      </c>
      <c r="J123" s="2" t="inlineStr">
        <is>
          <t>EN ATTENTE</t>
        </is>
      </c>
      <c r="K123" s="2">
        <f>_xlfn.IFNA(_xlfn.XLOOKUP(Table1[[#This Row],[N° BC]],'Commandes Dechargees'!B:B,'Commandes Dechargees'!P:P),"EN ATTENTE DE DECHARGEMENT")</f>
        <v/>
      </c>
    </row>
    <row r="124" ht="25.5" customHeight="1">
      <c r="C124" s="24" t="n">
        <v>46266</v>
      </c>
      <c r="D124" s="2" t="inlineStr">
        <is>
          <t>0120-BC-SHEA/NAP-2026</t>
        </is>
      </c>
      <c r="E124" s="2" t="inlineStr">
        <is>
          <t>FRS00006</t>
        </is>
      </c>
      <c r="F124" s="3">
        <f>_xlfn.XLOOKUP(Table1[[#This Row],[Code Frs]],'CODE FRS'!B:B,'CODE FRS'!C:C)</f>
        <v/>
      </c>
      <c r="G124" s="2" t="inlineStr">
        <is>
          <t>BT2739RB/ 2987RB</t>
        </is>
      </c>
      <c r="H124" s="2" t="n">
        <v>195889495</v>
      </c>
      <c r="I124" s="2" t="n">
        <v>50</v>
      </c>
      <c r="J124" s="2" t="inlineStr">
        <is>
          <t>APROUVE</t>
        </is>
      </c>
      <c r="K124" s="2">
        <f>_xlfn.IFNA(_xlfn.XLOOKUP(Table1[[#This Row],[N° BC]],'Commandes Dechargees'!B:B,'Commandes Dechargees'!P:P),"EN ATTENTE DE DECHARGEMENT")</f>
        <v/>
      </c>
    </row>
    <row r="125" ht="25.5" customHeight="1">
      <c r="C125" s="24" t="n">
        <v>46266</v>
      </c>
      <c r="D125" s="2" t="inlineStr">
        <is>
          <t>0121-BC-SHEA/NAP-2026</t>
        </is>
      </c>
      <c r="E125" s="2" t="inlineStr">
        <is>
          <t>FRS00039</t>
        </is>
      </c>
      <c r="F125" s="3">
        <f>_xlfn.XLOOKUP(Table1[[#This Row],[Code Frs]],'CODE FRS'!B:B,'CODE FRS'!C:C)</f>
        <v/>
      </c>
      <c r="G125" s="2" t="inlineStr">
        <is>
          <t>BX8487RB/BS9645RB</t>
        </is>
      </c>
      <c r="H125" s="2" t="n">
        <v>194203500</v>
      </c>
      <c r="I125" s="2" t="n">
        <v>50</v>
      </c>
      <c r="J125" s="2" t="inlineStr">
        <is>
          <t>APROUVE</t>
        </is>
      </c>
      <c r="K125" s="2">
        <f>_xlfn.IFNA(_xlfn.XLOOKUP(Table1[[#This Row],[N° BC]],'Commandes Dechargees'!B:B,'Commandes Dechargees'!P:P),"EN ATTENTE DE DECHARGEMENT")</f>
        <v/>
      </c>
    </row>
    <row r="126" ht="25.5" customHeight="1">
      <c r="C126" s="24" t="n">
        <v>46266</v>
      </c>
      <c r="D126" s="2" t="inlineStr">
        <is>
          <t>0122-BC-SHEA/NAP-2026</t>
        </is>
      </c>
      <c r="E126" s="2" t="inlineStr">
        <is>
          <t>FRS00039</t>
        </is>
      </c>
      <c r="F126" s="3">
        <f>_xlfn.XLOOKUP(Table1[[#This Row],[Code Frs]],'CODE FRS'!B:B,'CODE FRS'!C:C)</f>
        <v/>
      </c>
      <c r="G126" s="2" t="inlineStr">
        <is>
          <t>BS3652RB/3653RB</t>
        </is>
      </c>
      <c r="H126" s="2" t="n">
        <v>140530344</v>
      </c>
      <c r="I126" s="2" t="n">
        <v>50</v>
      </c>
      <c r="J126" s="2" t="inlineStr">
        <is>
          <t>EN ATTENTE</t>
        </is>
      </c>
      <c r="K126" s="2">
        <f>_xlfn.IFNA(_xlfn.XLOOKUP(Table1[[#This Row],[N° BC]],'Commandes Dechargees'!B:B,'Commandes Dechargees'!P:P),"EN ATTENTE DE DECHARGEMENT")</f>
        <v/>
      </c>
    </row>
    <row r="127" ht="25.5" customHeight="1">
      <c r="C127" s="24" t="n">
        <v>46267</v>
      </c>
      <c r="D127" s="2" t="inlineStr">
        <is>
          <t>0123-BC-SHEA/NAP-2026</t>
        </is>
      </c>
      <c r="E127" s="2" t="inlineStr">
        <is>
          <t>FRS00016</t>
        </is>
      </c>
      <c r="F127" s="3">
        <f>_xlfn.XLOOKUP(Table1[[#This Row],[Code Frs]],'CODE FRS'!B:B,'CODE FRS'!C:C)</f>
        <v/>
      </c>
      <c r="G127" s="2" t="inlineStr">
        <is>
          <t>CC9207RB/CG3619RB</t>
        </is>
      </c>
      <c r="H127" s="2" t="n">
        <v>196807477</v>
      </c>
      <c r="I127" s="2" t="n">
        <v>50</v>
      </c>
      <c r="J127" s="2" t="inlineStr">
        <is>
          <t>APROUVE</t>
        </is>
      </c>
      <c r="K127" s="2">
        <f>_xlfn.IFNA(_xlfn.XLOOKUP(Table1[[#This Row],[N° BC]],'Commandes Dechargees'!B:B,'Commandes Dechargees'!P:P),"EN ATTENTE DE DECHARGEMENT")</f>
        <v/>
      </c>
    </row>
    <row r="128" ht="25.5" customHeight="1">
      <c r="C128" s="24" t="n">
        <v>46267</v>
      </c>
      <c r="D128" s="2" t="inlineStr">
        <is>
          <t>0124-BC-SHEA/NAP-2026</t>
        </is>
      </c>
      <c r="E128" s="2" t="inlineStr">
        <is>
          <t>FRS00016</t>
        </is>
      </c>
      <c r="F128" s="3">
        <f>_xlfn.XLOOKUP(Table1[[#This Row],[Code Frs]],'CODE FRS'!B:B,'CODE FRS'!C:C)</f>
        <v/>
      </c>
      <c r="G128" s="2" t="inlineStr">
        <is>
          <t>BG4809RB/BP3763RB</t>
        </is>
      </c>
      <c r="H128" s="2" t="n">
        <v>141345038</v>
      </c>
      <c r="I128" s="2" t="n">
        <v>50</v>
      </c>
      <c r="J128" s="2" t="inlineStr">
        <is>
          <t>EN ATTENTE</t>
        </is>
      </c>
      <c r="K128" s="2">
        <f>_xlfn.IFNA(_xlfn.XLOOKUP(Table1[[#This Row],[N° BC]],'Commandes Dechargees'!B:B,'Commandes Dechargees'!P:P),"EN ATTENTE DE DECHARGEMENT")</f>
        <v/>
      </c>
    </row>
    <row r="129" ht="25.5" customHeight="1">
      <c r="C129" s="24" t="n">
        <v>46267</v>
      </c>
      <c r="D129" s="2" t="inlineStr">
        <is>
          <t>0125-BC-SHEA/NAP-2026</t>
        </is>
      </c>
      <c r="E129" s="2" t="inlineStr">
        <is>
          <t>FRS00016</t>
        </is>
      </c>
      <c r="F129" s="3">
        <f>_xlfn.XLOOKUP(Table1[[#This Row],[Code Frs]],'CODE FRS'!B:B,'CODE FRS'!C:C)</f>
        <v/>
      </c>
      <c r="G129" s="2" t="inlineStr">
        <is>
          <t>CL0086RB/AG5575RB</t>
        </is>
      </c>
      <c r="H129" s="2" t="n">
        <v>140901200</v>
      </c>
      <c r="I129" s="2" t="n">
        <v>50</v>
      </c>
      <c r="J129" s="2" t="inlineStr">
        <is>
          <t>APROUVE</t>
        </is>
      </c>
      <c r="K129" s="2">
        <f>_xlfn.IFNA(_xlfn.XLOOKUP(Table1[[#This Row],[N° BC]],'Commandes Dechargees'!B:B,'Commandes Dechargees'!P:P),"EN ATTENTE DE DECHARGEMENT")</f>
        <v/>
      </c>
    </row>
    <row r="130" ht="25.5" customHeight="1">
      <c r="C130" s="24" t="n">
        <v>46267</v>
      </c>
      <c r="D130" s="2" t="inlineStr">
        <is>
          <t>0126-BC-SHEA/NAP-2026</t>
        </is>
      </c>
      <c r="E130" s="2" t="inlineStr">
        <is>
          <t>FRS00015</t>
        </is>
      </c>
      <c r="F130" s="3">
        <f>_xlfn.XLOOKUP(Table1[[#This Row],[Code Frs]],'CODE FRS'!B:B,'CODE FRS'!C:C)</f>
        <v/>
      </c>
      <c r="G130" s="2" t="inlineStr">
        <is>
          <t>BD6172RB/AG2864RB</t>
        </is>
      </c>
      <c r="H130" s="2" t="n">
        <v>167060953</v>
      </c>
      <c r="I130" s="2" t="n">
        <v>50</v>
      </c>
      <c r="J130" s="2" t="inlineStr">
        <is>
          <t>APROUVE</t>
        </is>
      </c>
      <c r="K130" s="2">
        <f>_xlfn.IFNA(_xlfn.XLOOKUP(Table1[[#This Row],[N° BC]],'Commandes Dechargees'!B:B,'Commandes Dechargees'!P:P),"EN ATTENTE DE DECHARGEMENT")</f>
        <v/>
      </c>
    </row>
    <row r="131" ht="25.5" customHeight="1">
      <c r="C131" s="24" t="n">
        <v>46267</v>
      </c>
      <c r="D131" s="2" t="inlineStr">
        <is>
          <t>0127-BC-SHEA/NAP-2026</t>
        </is>
      </c>
      <c r="E131" s="2" t="inlineStr">
        <is>
          <t>FRS00001</t>
        </is>
      </c>
      <c r="F131" s="3">
        <f>_xlfn.XLOOKUP(Table1[[#This Row],[Code Frs]],'CODE FRS'!B:B,'CODE FRS'!C:C)</f>
        <v/>
      </c>
      <c r="G131" s="2" t="inlineStr">
        <is>
          <t>CD5503RB/BP1368RB</t>
        </is>
      </c>
      <c r="H131" s="2" t="n">
        <v>196805328</v>
      </c>
      <c r="I131" s="2" t="n">
        <v>45</v>
      </c>
      <c r="J131" s="2" t="inlineStr">
        <is>
          <t>APROUVE</t>
        </is>
      </c>
      <c r="K131" s="2">
        <f>_xlfn.IFNA(_xlfn.XLOOKUP(Table1[[#This Row],[N° BC]],'Commandes Dechargees'!B:B,'Commandes Dechargees'!P:P),"EN ATTENTE DE DECHARGEMENT")</f>
        <v/>
      </c>
    </row>
    <row r="132" ht="25.5" customHeight="1">
      <c r="C132" s="24" t="n">
        <v>46267</v>
      </c>
      <c r="D132" s="2" t="inlineStr">
        <is>
          <t>0128-BC-SHEA/NAP-2026</t>
        </is>
      </c>
      <c r="E132" s="2" t="inlineStr">
        <is>
          <t>FRS00001</t>
        </is>
      </c>
      <c r="F132" s="3">
        <f>_xlfn.XLOOKUP(Table1[[#This Row],[Code Frs]],'CODE FRS'!B:B,'CODE FRS'!C:C)</f>
        <v/>
      </c>
      <c r="G132" s="2" t="inlineStr">
        <is>
          <t>BC6242RB/AU5794RB</t>
        </is>
      </c>
      <c r="H132" s="2" t="n">
        <v>144719651</v>
      </c>
      <c r="I132" s="2" t="n">
        <v>44</v>
      </c>
      <c r="J132" s="2" t="inlineStr">
        <is>
          <t>APROUVE</t>
        </is>
      </c>
      <c r="K132" s="2">
        <f>_xlfn.IFNA(_xlfn.XLOOKUP(Table1[[#This Row],[N° BC]],'Commandes Dechargees'!B:B,'Commandes Dechargees'!P:P),"EN ATTENTE DE DECHARGEMENT")</f>
        <v/>
      </c>
    </row>
    <row r="133" ht="25.5" customHeight="1">
      <c r="C133" s="24" t="n">
        <v>46267</v>
      </c>
      <c r="D133" s="2" t="inlineStr">
        <is>
          <t>0129-BC-SHEA/NAP-2026</t>
        </is>
      </c>
      <c r="E133" s="2" t="inlineStr">
        <is>
          <t>FRS00001</t>
        </is>
      </c>
      <c r="F133" s="3">
        <f>_xlfn.XLOOKUP(Table1[[#This Row],[Code Frs]],'CODE FRS'!B:B,'CODE FRS'!C:C)</f>
        <v/>
      </c>
      <c r="G133" s="2" t="inlineStr">
        <is>
          <t>BL7712RB</t>
        </is>
      </c>
      <c r="H133" s="2" t="n">
        <v>148170596</v>
      </c>
      <c r="I133" s="2" t="n">
        <v>13</v>
      </c>
      <c r="J133" s="2" t="inlineStr">
        <is>
          <t>EN ATTENTE</t>
        </is>
      </c>
      <c r="K133" s="2">
        <f>_xlfn.IFNA(_xlfn.XLOOKUP(Table1[[#This Row],[N° BC]],'Commandes Dechargees'!B:B,'Commandes Dechargees'!P:P),"EN ATTENTE DE DECHARGEMENT")</f>
        <v/>
      </c>
    </row>
    <row r="134" ht="25.5" customHeight="1">
      <c r="C134" s="24" t="n">
        <v>46267</v>
      </c>
      <c r="D134" s="2" t="inlineStr">
        <is>
          <t>0130-BC-SHEA/NAP-2026</t>
        </is>
      </c>
      <c r="E134" s="2" t="inlineStr">
        <is>
          <t>FRS00020</t>
        </is>
      </c>
      <c r="F134" s="3">
        <f>_xlfn.XLOOKUP(Table1[[#This Row],[Code Frs]],'CODE FRS'!B:B,'CODE FRS'!C:C)</f>
        <v/>
      </c>
      <c r="G134" s="2" t="inlineStr">
        <is>
          <t>CL6144RB/Cl6145RB</t>
        </is>
      </c>
      <c r="H134" s="2" t="n">
        <v>160964375</v>
      </c>
      <c r="I134" s="2" t="n">
        <v>50</v>
      </c>
      <c r="J134" s="2" t="inlineStr">
        <is>
          <t>APROUVE</t>
        </is>
      </c>
      <c r="K134" s="2">
        <f>_xlfn.IFNA(_xlfn.XLOOKUP(Table1[[#This Row],[N° BC]],'Commandes Dechargees'!B:B,'Commandes Dechargees'!P:P),"EN ATTENTE DE DECHARGEMENT")</f>
        <v/>
      </c>
    </row>
    <row r="135" ht="25.5" customHeight="1">
      <c r="C135" s="24" t="n">
        <v>46267</v>
      </c>
      <c r="D135" s="2" t="inlineStr">
        <is>
          <t>0131-BC-SHEA/NAP-2026</t>
        </is>
      </c>
      <c r="E135" s="2" t="inlineStr">
        <is>
          <t>FRS00032</t>
        </is>
      </c>
      <c r="F135" s="3">
        <f>_xlfn.XLOOKUP(Table1[[#This Row],[Code Frs]],'CODE FRS'!B:B,'CODE FRS'!C:C)</f>
        <v/>
      </c>
      <c r="G135" s="2" t="inlineStr">
        <is>
          <t>CC0738RB/BX6397RB</t>
        </is>
      </c>
      <c r="H135" s="2" t="n">
        <v>143140250</v>
      </c>
      <c r="I135" s="2" t="n">
        <v>52</v>
      </c>
      <c r="J135" s="2" t="inlineStr">
        <is>
          <t>APROUVE</t>
        </is>
      </c>
      <c r="K135" s="2">
        <f>_xlfn.IFNA(_xlfn.XLOOKUP(Table1[[#This Row],[N° BC]],'Commandes Dechargees'!B:B,'Commandes Dechargees'!P:P),"EN ATTENTE DE DECHARGEMENT")</f>
        <v/>
      </c>
    </row>
    <row r="136" ht="25.5" customHeight="1">
      <c r="C136" s="24" t="n">
        <v>46267</v>
      </c>
      <c r="D136" s="2" t="inlineStr">
        <is>
          <t>0132-BC-SHEA/NAP-2026</t>
        </is>
      </c>
      <c r="E136" s="2" t="inlineStr">
        <is>
          <t>FRS00001</t>
        </is>
      </c>
      <c r="F136" s="3">
        <f>_xlfn.XLOOKUP(Table1[[#This Row],[Code Frs]],'CODE FRS'!B:B,'CODE FRS'!C:C)</f>
        <v/>
      </c>
      <c r="G136" s="2" t="inlineStr">
        <is>
          <t>BU1050RB/AY7402RB</t>
        </is>
      </c>
      <c r="H136" s="2" t="n">
        <v>167001187</v>
      </c>
      <c r="I136" s="2" t="n">
        <v>50</v>
      </c>
      <c r="J136" s="2" t="inlineStr">
        <is>
          <t>APROUVE</t>
        </is>
      </c>
      <c r="K136" s="2">
        <f>_xlfn.IFNA(_xlfn.XLOOKUP(Table1[[#This Row],[N° BC]],'Commandes Dechargees'!B:B,'Commandes Dechargees'!P:P),"EN ATTENTE DE DECHARGEMENT")</f>
        <v/>
      </c>
    </row>
    <row r="137" ht="25.5" customHeight="1">
      <c r="C137" s="24" t="n">
        <v>46267</v>
      </c>
      <c r="D137" s="2" t="inlineStr">
        <is>
          <t>0133-BC-SHEA/NAP-2026</t>
        </is>
      </c>
      <c r="E137" s="2" t="inlineStr">
        <is>
          <t>FRS00001</t>
        </is>
      </c>
      <c r="F137" s="3">
        <f>_xlfn.XLOOKUP(Table1[[#This Row],[Code Frs]],'CODE FRS'!B:B,'CODE FRS'!C:C)</f>
        <v/>
      </c>
      <c r="G137" s="2" t="inlineStr">
        <is>
          <t>BS1649RB/BT0719RB</t>
        </is>
      </c>
      <c r="H137" s="2" t="n">
        <v>169086051</v>
      </c>
      <c r="I137" s="2" t="n">
        <v>47</v>
      </c>
      <c r="J137" s="2" t="inlineStr">
        <is>
          <t>APROUVE</t>
        </is>
      </c>
      <c r="K137" s="2">
        <f>_xlfn.IFNA(_xlfn.XLOOKUP(Table1[[#This Row],[N° BC]],'Commandes Dechargees'!B:B,'Commandes Dechargees'!P:P),"EN ATTENTE DE DECHARGEMENT")</f>
        <v/>
      </c>
    </row>
    <row r="138" ht="25.5" customHeight="1">
      <c r="C138" s="24" t="n">
        <v>46267</v>
      </c>
      <c r="D138" s="2" t="inlineStr">
        <is>
          <t>0134-BC-SHEA/NAP-2026</t>
        </is>
      </c>
      <c r="E138" s="2" t="inlineStr">
        <is>
          <t>FRS00022</t>
        </is>
      </c>
      <c r="F138" s="3">
        <f>_xlfn.XLOOKUP(Table1[[#This Row],[Code Frs]],'CODE FRS'!B:B,'CODE FRS'!C:C)</f>
        <v/>
      </c>
      <c r="G138" s="2" t="inlineStr">
        <is>
          <t>BV9692RB/BV8811RB</t>
        </is>
      </c>
      <c r="H138" s="2" t="n">
        <v>197473351</v>
      </c>
      <c r="I138" s="2" t="n">
        <v>50</v>
      </c>
      <c r="J138" s="2" t="inlineStr">
        <is>
          <t>APROUVE</t>
        </is>
      </c>
      <c r="K138" s="2">
        <f>_xlfn.IFNA(_xlfn.XLOOKUP(Table1[[#This Row],[N° BC]],'Commandes Dechargees'!B:B,'Commandes Dechargees'!P:P),"EN ATTENTE DE DECHARGEMENT")</f>
        <v/>
      </c>
    </row>
    <row r="139" ht="25.5" customHeight="1">
      <c r="B139" t="inlineStr">
        <is>
          <t>Hospice</t>
        </is>
      </c>
      <c r="C139" s="24" t="n">
        <v>46268</v>
      </c>
      <c r="D139" s="2" t="inlineStr">
        <is>
          <t>0135-BC-SHEA/NAP-2026</t>
        </is>
      </c>
      <c r="E139" s="2" t="inlineStr">
        <is>
          <t>FRS00040</t>
        </is>
      </c>
      <c r="F139" s="3">
        <f>_xlfn.XLOOKUP(Table1[[#This Row],[Code Frs]],'CODE FRS'!B:B,'CODE FRS'!C:C)</f>
        <v/>
      </c>
      <c r="G139" s="2" t="inlineStr">
        <is>
          <t>BY0018RB/AV9086RB</t>
        </is>
      </c>
      <c r="H139" s="2" t="n">
        <v>143925288</v>
      </c>
      <c r="I139" s="2" t="n">
        <v>50</v>
      </c>
      <c r="J139" s="2" t="inlineStr">
        <is>
          <t>EN ATTENTE</t>
        </is>
      </c>
      <c r="K139" s="2">
        <f>_xlfn.IFNA(_xlfn.XLOOKUP(Table1[[#This Row],[N° BC]],'Commandes Dechargees'!B:B,'Commandes Dechargees'!P:P),"EN ATTENTE DE DECHARGEMENT")</f>
        <v/>
      </c>
    </row>
    <row r="140" ht="25.5" customHeight="1">
      <c r="B140" t="inlineStr">
        <is>
          <t>Hospice</t>
        </is>
      </c>
      <c r="C140" s="24" t="n">
        <v>46268</v>
      </c>
      <c r="D140" s="2" t="inlineStr">
        <is>
          <t>0136-BC-SHEA/NAP-2026</t>
        </is>
      </c>
      <c r="E140" s="2" t="inlineStr">
        <is>
          <t>FRS00040</t>
        </is>
      </c>
      <c r="F140" s="3">
        <f>_xlfn.XLOOKUP(Table1[[#This Row],[Code Frs]],'CODE FRS'!B:B,'CODE FRS'!C:C)</f>
        <v/>
      </c>
      <c r="G140" s="2" t="inlineStr">
        <is>
          <t>BM4824RB/AH7640RB</t>
        </is>
      </c>
      <c r="H140" s="2" t="n">
        <v>194399235</v>
      </c>
      <c r="I140" s="2" t="n">
        <v>50</v>
      </c>
      <c r="J140" s="2" t="inlineStr">
        <is>
          <t>EN ATTENTE</t>
        </is>
      </c>
      <c r="K140" s="2">
        <f>_xlfn.IFNA(_xlfn.XLOOKUP(Table1[[#This Row],[N° BC]],'Commandes Dechargees'!B:B,'Commandes Dechargees'!P:P),"EN ATTENTE DE DECHARGEMENT")</f>
        <v/>
      </c>
    </row>
    <row r="141" ht="25.5" customHeight="1">
      <c r="C141" s="24" t="n">
        <v>46268</v>
      </c>
      <c r="D141" s="2" t="inlineStr">
        <is>
          <t>0137-BC-SHEA/NAP-2026</t>
        </is>
      </c>
      <c r="E141" s="2" t="inlineStr">
        <is>
          <t>FRS00020</t>
        </is>
      </c>
      <c r="F141" s="34">
        <f>_xlfn.XLOOKUP(Table1[[#This Row],[Code Frs]],'CODE FRS'!B:B,'CODE FRS'!C:C)</f>
        <v/>
      </c>
      <c r="G141" s="2" t="inlineStr">
        <is>
          <t>BE4894RB/AP7240RB</t>
        </is>
      </c>
      <c r="H141" s="2" t="n">
        <v>192601613</v>
      </c>
      <c r="I141" s="2" t="n">
        <v>50</v>
      </c>
      <c r="J141" s="2" t="inlineStr">
        <is>
          <t>APROUVE</t>
        </is>
      </c>
      <c r="K141" s="2">
        <f>_xlfn.IFNA(_xlfn.XLOOKUP(Table1[[#This Row],[N° BC]],'Commandes Dechargees'!B:B,'Commandes Dechargees'!P:P),"EN ATTENTE DE DECHARGEMENT")</f>
        <v/>
      </c>
    </row>
    <row r="142" ht="25.5" customHeight="1">
      <c r="C142" s="24" t="n">
        <v>46268</v>
      </c>
      <c r="D142" s="2" t="inlineStr">
        <is>
          <t>0138-BC-SHEA/NAP-2026</t>
        </is>
      </c>
      <c r="E142" s="2" t="inlineStr">
        <is>
          <t>FRS00020</t>
        </is>
      </c>
      <c r="F142" s="34">
        <f>_xlfn.XLOOKUP(Table1[[#This Row],[Code Frs]],'CODE FRS'!B:B,'CODE FRS'!C:C)</f>
        <v/>
      </c>
      <c r="G142" s="2" t="inlineStr">
        <is>
          <t>CE3529RB/AE7747RB</t>
        </is>
      </c>
      <c r="H142" s="2" t="n">
        <v>141596071</v>
      </c>
      <c r="I142" s="2" t="n">
        <v>50</v>
      </c>
      <c r="J142" s="2" t="inlineStr">
        <is>
          <t>APROUVE</t>
        </is>
      </c>
      <c r="K142" s="2">
        <f>_xlfn.IFNA(_xlfn.XLOOKUP(Table1[[#This Row],[N° BC]],'Commandes Dechargees'!B:B,'Commandes Dechargees'!P:P),"EN ATTENTE DE DECHARGEMENT")</f>
        <v/>
      </c>
    </row>
    <row r="143" ht="25.5" customHeight="1">
      <c r="C143" s="24" t="n">
        <v>46268</v>
      </c>
      <c r="D143" s="2" t="inlineStr">
        <is>
          <t>0139-BC-SHEA/NAP-2026</t>
        </is>
      </c>
      <c r="E143" s="2" t="inlineStr">
        <is>
          <t>FRS00026</t>
        </is>
      </c>
      <c r="F143" s="3">
        <f>_xlfn.XLOOKUP(Table1[[#This Row],[Code Frs]],'CODE FRS'!B:B,'CODE FRS'!C:C)</f>
        <v/>
      </c>
      <c r="G143" s="2" t="inlineStr">
        <is>
          <t>BX0236RB/BP0463RB</t>
        </is>
      </c>
      <c r="H143" s="2" t="n">
        <v>141770835</v>
      </c>
      <c r="I143" s="2" t="n">
        <v>50</v>
      </c>
      <c r="J143" s="2" t="inlineStr">
        <is>
          <t>APROUVE</t>
        </is>
      </c>
      <c r="K143" s="2">
        <f>_xlfn.IFNA(_xlfn.XLOOKUP(Table1[[#This Row],[N° BC]],'Commandes Dechargees'!B:B,'Commandes Dechargees'!P:P),"EN ATTENTE DE DECHARGEMENT")</f>
        <v/>
      </c>
    </row>
    <row r="144" ht="25.5" customHeight="1">
      <c r="C144" s="24" t="n">
        <v>46268</v>
      </c>
      <c r="D144" s="2" t="inlineStr">
        <is>
          <t>0140-BC-SHEA/NAP-2026</t>
        </is>
      </c>
      <c r="E144" s="2" t="inlineStr">
        <is>
          <t>FRS00001</t>
        </is>
      </c>
      <c r="F144" s="3">
        <f>_xlfn.XLOOKUP(Table1[[#This Row],[Code Frs]],'CODE FRS'!B:B,'CODE FRS'!C:C)</f>
        <v/>
      </c>
      <c r="G144" s="2" t="inlineStr">
        <is>
          <t>BT9887RB/BE4710RB</t>
        </is>
      </c>
      <c r="H144" s="2" t="inlineStr">
        <is>
          <t>0157164140/0141216731</t>
        </is>
      </c>
      <c r="I144" s="2" t="n">
        <v>52</v>
      </c>
      <c r="J144" s="2" t="inlineStr">
        <is>
          <t>APROUVE</t>
        </is>
      </c>
      <c r="K144" s="2">
        <f>_xlfn.IFNA(_xlfn.XLOOKUP(Table1[[#This Row],[N° BC]],'Commandes Dechargees'!B:B,'Commandes Dechargees'!P:P),"EN ATTENTE DE DECHARGEMENT")</f>
        <v/>
      </c>
    </row>
    <row r="145" ht="25.5" customHeight="1">
      <c r="C145" s="24" t="n">
        <v>46268</v>
      </c>
      <c r="D145" s="2" t="inlineStr">
        <is>
          <t>0141-BC-SHEA/NAP-2026</t>
        </is>
      </c>
      <c r="E145" s="2" t="inlineStr">
        <is>
          <t>FRS00003</t>
        </is>
      </c>
      <c r="F145" s="3">
        <f>_xlfn.XLOOKUP(Table1[[#This Row],[Code Frs]],'CODE FRS'!B:B,'CODE FRS'!C:C)</f>
        <v/>
      </c>
      <c r="G145" s="2" t="inlineStr">
        <is>
          <t>BD6541RB/BD6542RB</t>
        </is>
      </c>
      <c r="H145" s="2" t="n">
        <v>140534093</v>
      </c>
      <c r="I145" s="2" t="n">
        <v>50</v>
      </c>
      <c r="J145" s="2" t="inlineStr">
        <is>
          <t>APROUVE</t>
        </is>
      </c>
      <c r="K145" s="2">
        <f>_xlfn.IFNA(_xlfn.XLOOKUP(Table1[[#This Row],[N° BC]],'Commandes Dechargees'!B:B,'Commandes Dechargees'!P:P),"EN ATTENTE DE DECHARGEMENT")</f>
        <v/>
      </c>
    </row>
    <row r="146" ht="25.5" customHeight="1">
      <c r="C146" s="24" t="n">
        <v>46269</v>
      </c>
      <c r="D146" s="2" t="inlineStr">
        <is>
          <t>0142-BC-SHEA/NAP-2026</t>
        </is>
      </c>
      <c r="E146" s="2" t="inlineStr">
        <is>
          <t>FRS00039</t>
        </is>
      </c>
      <c r="F146" s="3">
        <f>_xlfn.XLOOKUP(Table1[[#This Row],[Code Frs]],'CODE FRS'!B:B,'CODE FRS'!C:C)</f>
        <v/>
      </c>
      <c r="G146" s="2" t="inlineStr">
        <is>
          <t>CF7087RB/BL7764RB</t>
        </is>
      </c>
      <c r="H146" s="2" t="n">
        <v>169375282</v>
      </c>
      <c r="I146" s="2" t="n">
        <v>50</v>
      </c>
      <c r="J146" s="2" t="inlineStr">
        <is>
          <t>EN ATTENTE</t>
        </is>
      </c>
      <c r="K146" s="2">
        <f>_xlfn.IFNA(_xlfn.XLOOKUP(Table1[[#This Row],[N° BC]],'Commandes Dechargees'!B:B,'Commandes Dechargees'!P:P),"EN ATTENTE DE DECHARGEMENT")</f>
        <v/>
      </c>
    </row>
    <row r="147" ht="25.5" customHeight="1">
      <c r="C147" s="24" t="n">
        <v>46270</v>
      </c>
      <c r="D147" s="2" t="inlineStr">
        <is>
          <t>0143-BC-SHEA/NAP-2026</t>
        </is>
      </c>
      <c r="E147" s="2" t="inlineStr">
        <is>
          <t>FRS00024</t>
        </is>
      </c>
      <c r="F147" s="3">
        <f>_xlfn.XLOOKUP(Table1[[#This Row],[Code Frs]],'CODE FRS'!B:B,'CODE FRS'!C:C)</f>
        <v/>
      </c>
      <c r="G147" s="2" t="inlineStr">
        <is>
          <t>BU0917RB/BM5975RB</t>
        </is>
      </c>
      <c r="H147" s="2" t="n">
        <v>197013087</v>
      </c>
      <c r="I147" s="2" t="n">
        <v>50</v>
      </c>
      <c r="J147" s="2" t="inlineStr">
        <is>
          <t>EN ATTENTE</t>
        </is>
      </c>
      <c r="K147" s="2">
        <f>_xlfn.IFNA(_xlfn.XLOOKUP(Table1[[#This Row],[N° BC]],'Commandes Dechargees'!B:B,'Commandes Dechargees'!P:P),"EN ATTENTE DE DECHARGEMENT")</f>
        <v/>
      </c>
    </row>
    <row r="148" ht="25.5" customHeight="1">
      <c r="C148" s="24" t="n">
        <v>46270</v>
      </c>
      <c r="D148" s="2" t="inlineStr">
        <is>
          <t>0144-BC-SHEA/NAP-2026</t>
        </is>
      </c>
      <c r="E148" s="2" t="inlineStr">
        <is>
          <t>FRS00006</t>
        </is>
      </c>
      <c r="F148" s="3">
        <f>_xlfn.XLOOKUP(Table1[[#This Row],[Code Frs]],'CODE FRS'!B:B,'CODE FRS'!C:C)</f>
        <v/>
      </c>
      <c r="G148" s="2" t="inlineStr">
        <is>
          <t>BV4861RB/BV4862RB</t>
        </is>
      </c>
      <c r="H148" s="2" t="n">
        <v>140563191</v>
      </c>
      <c r="I148" s="2" t="n">
        <v>50</v>
      </c>
      <c r="J148" s="2" t="inlineStr">
        <is>
          <t>EN ATTENTE</t>
        </is>
      </c>
      <c r="K148" s="2">
        <f>_xlfn.IFNA(_xlfn.XLOOKUP(Table1[[#This Row],[N° BC]],'Commandes Dechargees'!B:B,'Commandes Dechargees'!P:P),"EN ATTENTE DE DECHARGEMENT")</f>
        <v/>
      </c>
    </row>
    <row r="149" ht="25.5" customHeight="1">
      <c r="C149" s="24" t="n">
        <v>46270</v>
      </c>
      <c r="D149" s="2" t="inlineStr">
        <is>
          <t>0145-BC-SHEA/NAP-2026</t>
        </is>
      </c>
      <c r="E149" s="2" t="inlineStr">
        <is>
          <t>FRS00035</t>
        </is>
      </c>
      <c r="F149" s="3">
        <f>_xlfn.XLOOKUP(Table1[[#This Row],[Code Frs]],'CODE FRS'!B:B,'CODE FRS'!C:C)</f>
        <v/>
      </c>
      <c r="G149" s="2" t="inlineStr">
        <is>
          <t>CD9875RB/CD9877RB</t>
        </is>
      </c>
      <c r="H149" s="2" t="n">
        <v>197188123</v>
      </c>
      <c r="I149" s="2" t="n">
        <v>50</v>
      </c>
      <c r="J149" s="2" t="inlineStr">
        <is>
          <t>APROUVE</t>
        </is>
      </c>
      <c r="K149" s="2">
        <f>_xlfn.IFNA(_xlfn.XLOOKUP(Table1[[#This Row],[N° BC]],'Commandes Dechargees'!B:B,'Commandes Dechargees'!P:P),"EN ATTENTE DE DECHARGEMENT")</f>
        <v/>
      </c>
    </row>
    <row r="150" ht="25.5" customHeight="1">
      <c r="B150" t="inlineStr">
        <is>
          <t>Hospice</t>
        </is>
      </c>
      <c r="C150" s="24" t="n">
        <v>46270</v>
      </c>
      <c r="D150" s="2" t="inlineStr">
        <is>
          <t>0146-BC-SHEA/NAP-2026</t>
        </is>
      </c>
      <c r="E150" s="2" t="inlineStr">
        <is>
          <t>FRS00040</t>
        </is>
      </c>
      <c r="F150" s="3">
        <f>_xlfn.XLOOKUP(Table1[[#This Row],[Code Frs]],'CODE FRS'!B:B,'CODE FRS'!C:C)</f>
        <v/>
      </c>
      <c r="G150" s="2" t="inlineStr">
        <is>
          <t>BZ0376RB/BU7028RB</t>
        </is>
      </c>
      <c r="H150" s="2" t="n">
        <v>144868166</v>
      </c>
      <c r="I150" s="2" t="n">
        <v>50</v>
      </c>
      <c r="J150" s="2" t="inlineStr">
        <is>
          <t>EN ATTENTE</t>
        </is>
      </c>
      <c r="K150" s="2">
        <f>_xlfn.IFNA(_xlfn.XLOOKUP(Table1[[#This Row],[N° BC]],'Commandes Dechargees'!B:B,'Commandes Dechargees'!P:P),"EN ATTENTE DE DECHARGEMENT")</f>
        <v/>
      </c>
    </row>
    <row r="151" ht="25.5" customHeight="1">
      <c r="C151" s="24" t="n">
        <v>46270</v>
      </c>
      <c r="D151" s="2" t="inlineStr">
        <is>
          <t>0147-BC-SHEA/NAP-2026</t>
        </is>
      </c>
      <c r="E151" s="2" t="inlineStr">
        <is>
          <t>FRS00016</t>
        </is>
      </c>
      <c r="F151" s="3">
        <f>_xlfn.XLOOKUP(Table1[[#This Row],[Code Frs]],'CODE FRS'!B:B,'CODE FRS'!C:C)</f>
        <v/>
      </c>
      <c r="G151" s="2" t="inlineStr">
        <is>
          <t>AS3628RB/BF8361RB</t>
        </is>
      </c>
      <c r="H151" s="2" t="n">
        <v>196116306</v>
      </c>
      <c r="I151" s="2" t="n">
        <v>50</v>
      </c>
      <c r="J151" s="2" t="inlineStr">
        <is>
          <t>APROUVE</t>
        </is>
      </c>
      <c r="K151" s="2">
        <f>_xlfn.IFNA(_xlfn.XLOOKUP(Table1[[#This Row],[N° BC]],'Commandes Dechargees'!B:B,'Commandes Dechargees'!P:P),"EN ATTENTE DE DECHARGEMENT")</f>
        <v/>
      </c>
    </row>
    <row r="152" ht="25.5" customHeight="1">
      <c r="B152" t="inlineStr">
        <is>
          <t>Hospice</t>
        </is>
      </c>
      <c r="C152" s="24" t="n">
        <v>46270</v>
      </c>
      <c r="D152" s="2" t="inlineStr">
        <is>
          <t>0148-BC-SHEA/NAP-2026</t>
        </is>
      </c>
      <c r="E152" s="2" t="inlineStr">
        <is>
          <t>FRS00040</t>
        </is>
      </c>
      <c r="F152" s="3">
        <f>_xlfn.XLOOKUP(Table1[[#This Row],[Code Frs]],'CODE FRS'!B:B,'CODE FRS'!C:C)</f>
        <v/>
      </c>
      <c r="G152" s="2" t="inlineStr">
        <is>
          <t>BG3491RB/BG3492RB</t>
        </is>
      </c>
      <c r="H152" s="2" t="n">
        <v>191324207</v>
      </c>
      <c r="I152" s="2" t="n">
        <v>50</v>
      </c>
      <c r="J152" s="2" t="inlineStr">
        <is>
          <t>EN ATTENTE</t>
        </is>
      </c>
      <c r="K152" s="2">
        <f>_xlfn.IFNA(_xlfn.XLOOKUP(Table1[[#This Row],[N° BC]],'Commandes Dechargees'!B:B,'Commandes Dechargees'!P:P),"EN ATTENTE DE DECHARGEMENT")</f>
        <v/>
      </c>
    </row>
    <row r="153" ht="25.5" customHeight="1">
      <c r="C153" s="24" t="n">
        <v>46270</v>
      </c>
      <c r="D153" s="2" t="inlineStr">
        <is>
          <t>0149-BC-SHEA/NAP-2026</t>
        </is>
      </c>
      <c r="E153" s="2" t="inlineStr">
        <is>
          <t>FRS00017</t>
        </is>
      </c>
      <c r="F153" s="3">
        <f>_xlfn.XLOOKUP(Table1[[#This Row],[Code Frs]],'CODE FRS'!B:B,'CODE FRS'!C:C)</f>
        <v/>
      </c>
      <c r="G153" s="2" t="inlineStr">
        <is>
          <t>BD8254RB/AN4912RB</t>
        </is>
      </c>
      <c r="H153" s="2" t="n">
        <v>141124775</v>
      </c>
      <c r="I153" s="2" t="n">
        <v>40</v>
      </c>
      <c r="J153" s="2" t="inlineStr">
        <is>
          <t>APROUVE</t>
        </is>
      </c>
      <c r="K153" s="2">
        <f>_xlfn.IFNA(_xlfn.XLOOKUP(Table1[[#This Row],[N° BC]],'Commandes Dechargees'!B:B,'Commandes Dechargees'!P:P),"EN ATTENTE DE DECHARGEMENT")</f>
        <v/>
      </c>
    </row>
    <row r="154" ht="25.5" customHeight="1">
      <c r="C154" s="24" t="n">
        <v>46270</v>
      </c>
      <c r="D154" s="2" t="inlineStr">
        <is>
          <t>0150-BC-SHEA/NAP-2026</t>
        </is>
      </c>
      <c r="E154" s="2" t="inlineStr">
        <is>
          <t>FRS00041</t>
        </is>
      </c>
      <c r="F154" s="3">
        <f>_xlfn.XLOOKUP(Table1[[#This Row],[Code Frs]],'CODE FRS'!B:B,'CODE FRS'!C:C)</f>
        <v/>
      </c>
      <c r="G154" s="2" t="inlineStr">
        <is>
          <t>BU0866RB/AG7735RB</t>
        </is>
      </c>
      <c r="H154" s="2" t="n">
        <v>196222029</v>
      </c>
      <c r="I154" s="2" t="n">
        <v>35</v>
      </c>
      <c r="J154" s="2" t="inlineStr">
        <is>
          <t>APROUVE</t>
        </is>
      </c>
      <c r="K154" s="2">
        <f>_xlfn.IFNA(_xlfn.XLOOKUP(Table1[[#This Row],[N° BC]],'Commandes Dechargees'!B:B,'Commandes Dechargees'!P:P),"EN ATTENTE DE DECHARGEMENT")</f>
        <v/>
      </c>
    </row>
    <row r="155" ht="25.5" customHeight="1">
      <c r="C155" s="24" t="n">
        <v>46272</v>
      </c>
      <c r="D155" s="2" t="inlineStr">
        <is>
          <t>0151-BC-SHEA/NAP-2026</t>
        </is>
      </c>
      <c r="E155" s="2" t="inlineStr">
        <is>
          <t>FRS00042</t>
        </is>
      </c>
      <c r="F155" s="3">
        <f>_xlfn.XLOOKUP(Table1[[#This Row],[Code Frs]],'CODE FRS'!B:B,'CODE FRS'!C:C)</f>
        <v/>
      </c>
      <c r="G155" s="2" t="inlineStr">
        <is>
          <t>CE8096RB/8099RB</t>
        </is>
      </c>
      <c r="H155" s="2" t="n">
        <v>167835319</v>
      </c>
      <c r="I155" s="2" t="n">
        <v>50</v>
      </c>
      <c r="J155" s="2" t="inlineStr">
        <is>
          <t>EN ATTENTE</t>
        </is>
      </c>
      <c r="K155" s="2">
        <f>_xlfn.IFNA(_xlfn.XLOOKUP(Table1[[#This Row],[N° BC]],'Commandes Dechargees'!B:B,'Commandes Dechargees'!P:P),"EN ATTENTE DE DECHARGEMENT")</f>
        <v/>
      </c>
    </row>
    <row r="156" ht="25.5" customHeight="1">
      <c r="C156" s="24" t="n">
        <v>46272</v>
      </c>
      <c r="D156" s="2" t="inlineStr">
        <is>
          <t>0152-BC-SHEA/NAP-2026</t>
        </is>
      </c>
      <c r="E156" s="2" t="inlineStr">
        <is>
          <t>FRS00010</t>
        </is>
      </c>
      <c r="F156" s="3">
        <f>_xlfn.XLOOKUP(Table1[[#This Row],[Code Frs]],'CODE FRS'!B:B,'CODE FRS'!C:C)</f>
        <v/>
      </c>
      <c r="G156" s="2" t="inlineStr">
        <is>
          <t>BZ3139RB/BC1946RB</t>
        </is>
      </c>
      <c r="H156" s="2" t="n">
        <v>140507471</v>
      </c>
      <c r="I156" s="2" t="n">
        <v>50</v>
      </c>
      <c r="J156" s="2" t="inlineStr">
        <is>
          <t>EN ATTENTE</t>
        </is>
      </c>
      <c r="K156" s="2">
        <f>_xlfn.IFNA(_xlfn.XLOOKUP(Table1[[#This Row],[N° BC]],'Commandes Dechargees'!B:B,'Commandes Dechargees'!P:P),"EN ATTENTE DE DECHARGEMENT")</f>
        <v/>
      </c>
    </row>
    <row r="157" ht="25.5" customHeight="1">
      <c r="C157" s="24" t="n">
        <v>46272</v>
      </c>
      <c r="D157" s="2" t="inlineStr">
        <is>
          <t>0153-BC-SHEA/NAP-2026</t>
        </is>
      </c>
      <c r="E157" s="2" t="inlineStr">
        <is>
          <t>FRS00011</t>
        </is>
      </c>
      <c r="F157" s="3">
        <f>_xlfn.XLOOKUP(Table1[[#This Row],[Code Frs]],'CODE FRS'!B:B,'CODE FRS'!C:C)</f>
        <v/>
      </c>
      <c r="G157" s="2" t="inlineStr">
        <is>
          <t>CA2295RB/AJ0480RB</t>
        </is>
      </c>
      <c r="H157" s="2" t="n">
        <v>197720743</v>
      </c>
      <c r="I157" s="2" t="n">
        <v>50</v>
      </c>
      <c r="J157" s="2" t="inlineStr">
        <is>
          <t>APROUVE</t>
        </is>
      </c>
      <c r="K157" s="2">
        <f>_xlfn.IFNA(_xlfn.XLOOKUP(Table1[[#This Row],[N° BC]],'Commandes Dechargees'!B:B,'Commandes Dechargees'!P:P),"EN ATTENTE DE DECHARGEMENT")</f>
        <v/>
      </c>
    </row>
    <row r="158" ht="25.5" customHeight="1">
      <c r="C158" s="24" t="n">
        <v>46272</v>
      </c>
      <c r="D158" s="2" t="inlineStr">
        <is>
          <t>0154-BC-SHEA/NAP-2026</t>
        </is>
      </c>
      <c r="E158" s="2" t="inlineStr">
        <is>
          <t>FRS00011</t>
        </is>
      </c>
      <c r="F158" s="3">
        <f>_xlfn.XLOOKUP(Table1[[#This Row],[Code Frs]],'CODE FRS'!B:B,'CODE FRS'!C:C)</f>
        <v/>
      </c>
      <c r="G158" s="2" t="inlineStr">
        <is>
          <t>BB9217RB/AU4365RB</t>
        </is>
      </c>
      <c r="H158" s="2" t="n">
        <v>169232897</v>
      </c>
      <c r="I158" s="2" t="n">
        <v>51</v>
      </c>
      <c r="J158" s="2" t="inlineStr">
        <is>
          <t>APROUVE</t>
        </is>
      </c>
      <c r="K158" s="2">
        <f>_xlfn.IFNA(_xlfn.XLOOKUP(Table1[[#This Row],[N° BC]],'Commandes Dechargees'!B:B,'Commandes Dechargees'!P:P),"EN ATTENTE DE DECHARGEMENT")</f>
        <v/>
      </c>
    </row>
    <row r="159" ht="25.5" customHeight="1">
      <c r="C159" s="24" t="n">
        <v>46272</v>
      </c>
      <c r="D159" s="2" t="inlineStr">
        <is>
          <t>0155-BC-SHEA/NAP-2026</t>
        </is>
      </c>
      <c r="E159" s="2" t="inlineStr">
        <is>
          <t>FRS00020</t>
        </is>
      </c>
      <c r="F159" s="34">
        <f>_xlfn.XLOOKUP(Table1[[#This Row],[Code Frs]],'CODE FRS'!B:B,'CODE FRS'!C:C)</f>
        <v/>
      </c>
      <c r="G159" s="2" t="inlineStr">
        <is>
          <t>7268RB/BX7269RB</t>
        </is>
      </c>
      <c r="H159" s="2" t="n">
        <v>151297794</v>
      </c>
      <c r="I159" s="2" t="n">
        <v>50</v>
      </c>
      <c r="J159" s="2" t="inlineStr">
        <is>
          <t>EN ATTENTE</t>
        </is>
      </c>
      <c r="K159" s="2">
        <f>_xlfn.IFNA(_xlfn.XLOOKUP(Table1[[#This Row],[N° BC]],'Commandes Dechargees'!B:B,'Commandes Dechargees'!P:P),"EN ATTENTE DE DECHARGEMENT")</f>
        <v/>
      </c>
    </row>
    <row r="160" ht="25.5" customHeight="1">
      <c r="C160" s="24" t="n">
        <v>46272</v>
      </c>
      <c r="D160" s="2" t="inlineStr">
        <is>
          <t>0156-BC-SHEA/NAP-2026</t>
        </is>
      </c>
      <c r="E160" s="2" t="inlineStr">
        <is>
          <t>FRS00020</t>
        </is>
      </c>
      <c r="F160" s="34">
        <f>_xlfn.XLOOKUP(Table1[[#This Row],[Code Frs]],'CODE FRS'!B:B,'CODE FRS'!C:C)</f>
        <v/>
      </c>
      <c r="G160" s="2" t="inlineStr">
        <is>
          <t>BY0595RB/BT1373RB</t>
        </is>
      </c>
      <c r="H160" s="2" t="n">
        <v>144620429</v>
      </c>
      <c r="I160" s="2" t="n">
        <v>43</v>
      </c>
      <c r="J160" s="2" t="inlineStr">
        <is>
          <t>EN ATTENTE</t>
        </is>
      </c>
      <c r="K160" s="2">
        <f>_xlfn.IFNA(_xlfn.XLOOKUP(Table1[[#This Row],[N° BC]],'Commandes Dechargees'!B:B,'Commandes Dechargees'!P:P),"EN ATTENTE DE DECHARGEMENT")</f>
        <v/>
      </c>
    </row>
    <row r="161" ht="25.5" customHeight="1">
      <c r="C161" s="24" t="n">
        <v>46272</v>
      </c>
      <c r="D161" s="2" t="inlineStr">
        <is>
          <t>0157-BC-SHEA/NAP-2026</t>
        </is>
      </c>
      <c r="E161" s="2" t="inlineStr">
        <is>
          <t>FRS00036</t>
        </is>
      </c>
      <c r="F161" s="3">
        <f>_xlfn.XLOOKUP(Table1[[#This Row],[Code Frs]],'CODE FRS'!B:B,'CODE FRS'!C:C)</f>
        <v/>
      </c>
      <c r="G161" s="2" t="inlineStr">
        <is>
          <t>AS6395RB/AS6381RB</t>
        </is>
      </c>
      <c r="H161" s="2" t="n">
        <v>164483898</v>
      </c>
      <c r="I161" s="2" t="n">
        <v>50</v>
      </c>
      <c r="J161" s="2" t="inlineStr">
        <is>
          <t>APROUVE</t>
        </is>
      </c>
      <c r="K161" s="2">
        <f>_xlfn.IFNA(_xlfn.XLOOKUP(Table1[[#This Row],[N° BC]],'Commandes Dechargees'!B:B,'Commandes Dechargees'!P:P),"EN ATTENTE DE DECHARGEMENT")</f>
        <v/>
      </c>
    </row>
    <row r="162" ht="25.5" customHeight="1">
      <c r="C162" s="24" t="n">
        <v>46272</v>
      </c>
      <c r="D162" s="2" t="inlineStr">
        <is>
          <t>0158-BC-SHEA/NAP-2026</t>
        </is>
      </c>
      <c r="E162" s="2" t="inlineStr">
        <is>
          <t>FRS00044</t>
        </is>
      </c>
      <c r="F162" s="3">
        <f>_xlfn.XLOOKUP(Table1[[#This Row],[Code Frs]],'CODE FRS'!B:B,'CODE FRS'!C:C)</f>
        <v/>
      </c>
      <c r="G162" s="2" t="inlineStr">
        <is>
          <t>CC9004RB/BF5036RB</t>
        </is>
      </c>
      <c r="H162" s="2" t="n">
        <v>149221504</v>
      </c>
      <c r="I162" s="2" t="n">
        <v>50</v>
      </c>
      <c r="J162" s="2" t="inlineStr">
        <is>
          <t>APROUVE</t>
        </is>
      </c>
      <c r="K162" s="2">
        <f>_xlfn.IFNA(_xlfn.XLOOKUP(Table1[[#This Row],[N° BC]],'Commandes Dechargees'!B:B,'Commandes Dechargees'!P:P),"EN ATTENTE DE DECHARGEMENT")</f>
        <v/>
      </c>
    </row>
    <row r="163" ht="25.5" customHeight="1">
      <c r="C163" s="24" t="n">
        <v>46272</v>
      </c>
      <c r="D163" s="2" t="inlineStr">
        <is>
          <t>0159-BC-SHEA/NAP-2026</t>
        </is>
      </c>
      <c r="E163" s="2" t="inlineStr">
        <is>
          <t>FRS00044</t>
        </is>
      </c>
      <c r="F163" s="3">
        <f>_xlfn.XLOOKUP(Table1[[#This Row],[Code Frs]],'CODE FRS'!B:B,'CODE FRS'!C:C)</f>
        <v/>
      </c>
      <c r="G163" s="2" t="inlineStr">
        <is>
          <t>BX9920RB/BM9472RB</t>
        </is>
      </c>
      <c r="H163" s="2" t="n">
        <v>162289032</v>
      </c>
      <c r="I163" s="2" t="n">
        <v>50</v>
      </c>
      <c r="J163" s="2" t="inlineStr">
        <is>
          <t>APROUVE</t>
        </is>
      </c>
      <c r="K163" s="2">
        <f>_xlfn.IFNA(_xlfn.XLOOKUP(Table1[[#This Row],[N° BC]],'Commandes Dechargees'!B:B,'Commandes Dechargees'!P:P),"EN ATTENTE DE DECHARGEMENT")</f>
        <v/>
      </c>
    </row>
    <row r="164" ht="25.5" customHeight="1">
      <c r="C164" s="24" t="n">
        <v>46272</v>
      </c>
      <c r="D164" s="2" t="inlineStr">
        <is>
          <t>0160-BC-SHEA/NAP-2026</t>
        </is>
      </c>
      <c r="E164" s="2" t="inlineStr">
        <is>
          <t>FRS00009</t>
        </is>
      </c>
      <c r="F164" s="3">
        <f>_xlfn.XLOOKUP(Table1[[#This Row],[Code Frs]],'CODE FRS'!B:B,'CODE FRS'!C:C)</f>
        <v/>
      </c>
      <c r="G164" s="2" t="inlineStr">
        <is>
          <t>CA6600RB/CA8723RB</t>
        </is>
      </c>
      <c r="H164" s="2" t="n">
        <v>197011939</v>
      </c>
      <c r="I164" s="2" t="n">
        <v>50</v>
      </c>
      <c r="J164" s="2" t="inlineStr">
        <is>
          <t>APROUVE</t>
        </is>
      </c>
      <c r="K164" s="2">
        <f>_xlfn.IFNA(_xlfn.XLOOKUP(Table1[[#This Row],[N° BC]],'Commandes Dechargees'!B:B,'Commandes Dechargees'!P:P),"EN ATTENTE DE DECHARGEMENT")</f>
        <v/>
      </c>
    </row>
    <row r="165" ht="25.5" customHeight="1">
      <c r="C165" s="24" t="n">
        <v>46272</v>
      </c>
      <c r="D165" s="2" t="inlineStr">
        <is>
          <t>0161-BC-SHEA/NAP-2026</t>
        </is>
      </c>
      <c r="E165" s="2" t="inlineStr">
        <is>
          <t>FRS00006</t>
        </is>
      </c>
      <c r="F165" s="3">
        <f>_xlfn.XLOOKUP(Table1[[#This Row],[Code Frs]],'CODE FRS'!B:B,'CODE FRS'!C:C)</f>
        <v/>
      </c>
      <c r="G165" s="2" t="inlineStr">
        <is>
          <t>BZ1249RB/BZ5112RB</t>
        </is>
      </c>
      <c r="H165" s="2" t="n">
        <v>163984524</v>
      </c>
      <c r="I165" s="2" t="n">
        <v>50</v>
      </c>
      <c r="J165" s="2" t="inlineStr">
        <is>
          <t>EN ATTENTE</t>
        </is>
      </c>
      <c r="K165" s="2">
        <f>_xlfn.IFNA(_xlfn.XLOOKUP(Table1[[#This Row],[N° BC]],'Commandes Dechargees'!B:B,'Commandes Dechargees'!P:P),"EN ATTENTE DE DECHARGEMENT")</f>
        <v/>
      </c>
    </row>
    <row r="166" ht="25.5" customHeight="1">
      <c r="C166" s="24" t="n">
        <v>46272</v>
      </c>
      <c r="D166" s="2" t="inlineStr">
        <is>
          <t>0162-BC-SHEA/NAP-2026</t>
        </is>
      </c>
      <c r="E166" s="2" t="inlineStr">
        <is>
          <t>FRS00004</t>
        </is>
      </c>
      <c r="F166" s="3">
        <f>_xlfn.XLOOKUP(Table1[[#This Row],[Code Frs]],'CODE FRS'!B:B,'CODE FRS'!C:C)</f>
        <v/>
      </c>
      <c r="G166" s="2" t="inlineStr">
        <is>
          <t>CH8791RB/CK0290RB</t>
        </is>
      </c>
      <c r="H166" s="2" t="n">
        <v>196804429</v>
      </c>
      <c r="I166" s="2" t="n">
        <v>50</v>
      </c>
      <c r="J166" s="2" t="inlineStr">
        <is>
          <t>APROUVE</t>
        </is>
      </c>
      <c r="K166" s="2">
        <f>_xlfn.IFNA(_xlfn.XLOOKUP(Table1[[#This Row],[N° BC]],'Commandes Dechargees'!B:B,'Commandes Dechargees'!P:P),"EN ATTENTE DE DECHARGEMENT")</f>
        <v/>
      </c>
    </row>
    <row r="167" ht="25.5" customHeight="1">
      <c r="C167" s="24" t="n">
        <v>46272</v>
      </c>
      <c r="D167" s="2" t="inlineStr">
        <is>
          <t>0163-BC-SHEA/NAP-2026</t>
        </is>
      </c>
      <c r="E167" s="2" t="inlineStr">
        <is>
          <t>FRS00004</t>
        </is>
      </c>
      <c r="F167" s="3">
        <f>_xlfn.XLOOKUP(Table1[[#This Row],[Code Frs]],'CODE FRS'!B:B,'CODE FRS'!C:C)</f>
        <v/>
      </c>
      <c r="G167" s="2" t="inlineStr">
        <is>
          <t>CB6887RB</t>
        </is>
      </c>
      <c r="H167" s="2" t="n">
        <v>194554092</v>
      </c>
      <c r="I167" s="2" t="n">
        <v>50</v>
      </c>
      <c r="J167" s="2" t="inlineStr">
        <is>
          <t>APROUVE</t>
        </is>
      </c>
      <c r="K167" s="2">
        <f>_xlfn.IFNA(_xlfn.XLOOKUP(Table1[[#This Row],[N° BC]],'Commandes Dechargees'!B:B,'Commandes Dechargees'!P:P),"EN ATTENTE DE DECHARGEMENT")</f>
        <v/>
      </c>
    </row>
    <row r="168" ht="25.5" customHeight="1">
      <c r="C168" s="24" t="n">
        <v>46272</v>
      </c>
      <c r="D168" s="2" t="inlineStr">
        <is>
          <t>0164-BC-SHEA/NAP-2026</t>
        </is>
      </c>
      <c r="E168" s="2" t="inlineStr">
        <is>
          <t>FRS00004</t>
        </is>
      </c>
      <c r="F168" s="3">
        <f>_xlfn.XLOOKUP(Table1[[#This Row],[Code Frs]],'CODE FRS'!B:B,'CODE FRS'!C:C)</f>
        <v/>
      </c>
      <c r="G168" s="2" t="inlineStr">
        <is>
          <t>CK2776RB</t>
        </is>
      </c>
      <c r="H168" s="2" t="n">
        <v>147198881</v>
      </c>
      <c r="I168" s="2" t="n">
        <v>50</v>
      </c>
      <c r="J168" s="2" t="inlineStr">
        <is>
          <t>EN ATTENTE</t>
        </is>
      </c>
      <c r="K168" s="2">
        <f>_xlfn.IFNA(_xlfn.XLOOKUP(Table1[[#This Row],[N° BC]],'Commandes Dechargees'!B:B,'Commandes Dechargees'!P:P),"EN ATTENTE DE DECHARGEMENT")</f>
        <v/>
      </c>
    </row>
    <row r="169" ht="25.5" customHeight="1">
      <c r="C169" s="24" t="n">
        <v>46272</v>
      </c>
      <c r="D169" s="2" t="inlineStr">
        <is>
          <t>0165-BC-SHEA/NAP-2026</t>
        </is>
      </c>
      <c r="E169" s="2" t="inlineStr">
        <is>
          <t>FRS00003</t>
        </is>
      </c>
      <c r="F169" s="3">
        <f>_xlfn.XLOOKUP(Table1[[#This Row],[Code Frs]],'CODE FRS'!B:B,'CODE FRS'!C:C)</f>
        <v/>
      </c>
      <c r="G169" s="2" t="inlineStr">
        <is>
          <t>CB7441RB/CB1833RB</t>
        </is>
      </c>
      <c r="H169" s="2" t="n">
        <v>169575904</v>
      </c>
      <c r="I169" s="2" t="n">
        <v>50</v>
      </c>
      <c r="J169" s="2" t="inlineStr">
        <is>
          <t>APROUVE</t>
        </is>
      </c>
      <c r="K169" s="2">
        <f>_xlfn.IFNA(_xlfn.XLOOKUP(Table1[[#This Row],[N° BC]],'Commandes Dechargees'!B:B,'Commandes Dechargees'!P:P),"EN ATTENTE DE DECHARGEMENT")</f>
        <v/>
      </c>
    </row>
    <row r="170" ht="25.5" customHeight="1">
      <c r="C170" s="24" t="n">
        <v>46272</v>
      </c>
      <c r="D170" s="2" t="inlineStr">
        <is>
          <t>0166-BC-SHEA/NAP-2026</t>
        </is>
      </c>
      <c r="E170" s="2" t="inlineStr">
        <is>
          <t>FRS00016</t>
        </is>
      </c>
      <c r="F170" s="3">
        <f>_xlfn.XLOOKUP(Table1[[#This Row],[Code Frs]],'CODE FRS'!B:B,'CODE FRS'!C:C)</f>
        <v/>
      </c>
      <c r="G170" s="2" t="inlineStr">
        <is>
          <t>CH6339RB/BL4267RB</t>
        </is>
      </c>
      <c r="H170" s="2" t="n">
        <v>197795735</v>
      </c>
      <c r="I170" s="2" t="n">
        <v>50</v>
      </c>
      <c r="J170" s="2" t="inlineStr">
        <is>
          <t>EN ATTENTE</t>
        </is>
      </c>
      <c r="K170" s="2">
        <f>_xlfn.IFNA(_xlfn.XLOOKUP(Table1[[#This Row],[N° BC]],'Commandes Dechargees'!B:B,'Commandes Dechargees'!P:P),"EN ATTENTE DE DECHARGEMENT")</f>
        <v/>
      </c>
    </row>
    <row r="171" ht="25.5" customHeight="1">
      <c r="C171" s="24" t="n">
        <v>46272</v>
      </c>
      <c r="D171" s="2" t="inlineStr">
        <is>
          <t>0167-BC-SHEA/NAP-2026</t>
        </is>
      </c>
      <c r="E171" s="2" t="inlineStr">
        <is>
          <t>FRS00015</t>
        </is>
      </c>
      <c r="F171" s="3">
        <f>_xlfn.XLOOKUP(Table1[[#This Row],[Code Frs]],'CODE FRS'!B:B,'CODE FRS'!C:C)</f>
        <v/>
      </c>
      <c r="G171" s="2" t="inlineStr">
        <is>
          <t>BM6378/BJ0669RB</t>
        </is>
      </c>
      <c r="H171" s="2" t="n">
        <v>141320954</v>
      </c>
      <c r="I171" s="2" t="n">
        <v>50</v>
      </c>
      <c r="J171" s="2" t="inlineStr">
        <is>
          <t>APROUVE</t>
        </is>
      </c>
      <c r="K171" s="2">
        <f>_xlfn.IFNA(_xlfn.XLOOKUP(Table1[[#This Row],[N° BC]],'Commandes Dechargees'!B:B,'Commandes Dechargees'!P:P),"EN ATTENTE DE DECHARGEMENT")</f>
        <v/>
      </c>
    </row>
    <row r="172" ht="25.5" customHeight="1">
      <c r="C172" s="24" t="n">
        <v>46272</v>
      </c>
      <c r="D172" s="2" t="inlineStr">
        <is>
          <t>0168-BC-SHEA/NAP-2026</t>
        </is>
      </c>
      <c r="E172" s="2" t="inlineStr">
        <is>
          <t>FRS00032</t>
        </is>
      </c>
      <c r="F172" s="3">
        <f>_xlfn.XLOOKUP(Table1[[#This Row],[Code Frs]],'CODE FRS'!B:B,'CODE FRS'!C:C)</f>
        <v/>
      </c>
      <c r="G172" s="2" t="inlineStr">
        <is>
          <t>BD4361RB/BV3227RB</t>
        </is>
      </c>
      <c r="H172" s="2" t="n">
        <v>140346046</v>
      </c>
      <c r="I172" s="2" t="n">
        <v>40</v>
      </c>
      <c r="J172" s="2" t="inlineStr">
        <is>
          <t>APROUVE</t>
        </is>
      </c>
      <c r="K172" s="2">
        <f>_xlfn.IFNA(_xlfn.XLOOKUP(Table1[[#This Row],[N° BC]],'Commandes Dechargees'!B:B,'Commandes Dechargees'!P:P),"EN ATTENTE DE DECHARGEMENT")</f>
        <v/>
      </c>
    </row>
    <row r="173" ht="25.5" customHeight="1">
      <c r="C173" s="24" t="n">
        <v>46273</v>
      </c>
      <c r="D173" s="2" t="inlineStr">
        <is>
          <t>0169-BC-SHEA/NAP-2026</t>
        </is>
      </c>
      <c r="E173" s="2" t="inlineStr">
        <is>
          <t>FRS00004</t>
        </is>
      </c>
      <c r="F173" s="3">
        <f>_xlfn.XLOOKUP(Table1[[#This Row],[Code Frs]],'CODE FRS'!B:B,'CODE FRS'!C:C)</f>
        <v/>
      </c>
      <c r="G173" s="2" t="inlineStr">
        <is>
          <t>CJ0436RB/BT5953RB</t>
        </is>
      </c>
      <c r="H173" s="2" t="inlineStr">
        <is>
          <t>-</t>
        </is>
      </c>
      <c r="I173" s="2" t="n">
        <v>50</v>
      </c>
      <c r="J173" s="2" t="inlineStr">
        <is>
          <t>APROUVE</t>
        </is>
      </c>
      <c r="K173" s="2">
        <f>_xlfn.IFNA(_xlfn.XLOOKUP(Table1[[#This Row],[N° BC]],'Commandes Dechargees'!B:B,'Commandes Dechargees'!P:P),"EN ATTENTE DE DECHARGEMENT")</f>
        <v/>
      </c>
    </row>
    <row r="174" ht="25.5" customHeight="1">
      <c r="C174" s="24" t="n">
        <v>46273</v>
      </c>
      <c r="D174" s="2" t="inlineStr">
        <is>
          <t>0170-BC-SHEA/NAP-2026</t>
        </is>
      </c>
      <c r="E174" s="2" t="inlineStr">
        <is>
          <t>FRS00038</t>
        </is>
      </c>
      <c r="F174" s="3">
        <f>_xlfn.XLOOKUP(Table1[[#This Row],[Code Frs]],'CODE FRS'!B:B,'CODE FRS'!C:C)</f>
        <v/>
      </c>
      <c r="G174" s="2" t="inlineStr">
        <is>
          <t>BR4469RB/BE0831RB</t>
        </is>
      </c>
      <c r="H174" s="2" t="inlineStr">
        <is>
          <t>-</t>
        </is>
      </c>
      <c r="I174" s="2" t="n">
        <v>50</v>
      </c>
      <c r="J174" s="2" t="inlineStr">
        <is>
          <t>EN ATTENTE</t>
        </is>
      </c>
      <c r="K174" s="2">
        <f>_xlfn.IFNA(_xlfn.XLOOKUP(Table1[[#This Row],[N° BC]],'Commandes Dechargees'!B:B,'Commandes Dechargees'!P:P),"EN ATTENTE DE DECHARGEMENT")</f>
        <v/>
      </c>
    </row>
    <row r="175" ht="25.5" customHeight="1">
      <c r="C175" s="24" t="n">
        <v>46273</v>
      </c>
      <c r="D175" s="2" t="inlineStr">
        <is>
          <t>0171-BC-SHEA/NAP-2026</t>
        </is>
      </c>
      <c r="E175" s="2" t="inlineStr">
        <is>
          <t>FRS00016</t>
        </is>
      </c>
      <c r="F175" s="3">
        <f>_xlfn.XLOOKUP(Table1[[#This Row],[Code Frs]],'CODE FRS'!B:B,'CODE FRS'!C:C)</f>
        <v/>
      </c>
      <c r="G175" s="2" t="inlineStr">
        <is>
          <t>AR0918RB/AR0751RB</t>
        </is>
      </c>
      <c r="H175" s="2" t="n">
        <v>167540735</v>
      </c>
      <c r="I175" s="2" t="n">
        <v>50</v>
      </c>
      <c r="J175" s="2" t="inlineStr">
        <is>
          <t>EN ATTENTE</t>
        </is>
      </c>
      <c r="K175" s="2">
        <f>_xlfn.IFNA(_xlfn.XLOOKUP(Table1[[#This Row],[N° BC]],'Commandes Dechargees'!B:B,'Commandes Dechargees'!P:P),"EN ATTENTE DE DECHARGEMENT")</f>
        <v/>
      </c>
    </row>
    <row r="176" ht="25.5" customHeight="1">
      <c r="C176" s="24" t="n">
        <v>46273</v>
      </c>
      <c r="D176" s="2" t="inlineStr">
        <is>
          <t>0172-BC-SHEA/NAP-2026</t>
        </is>
      </c>
      <c r="E176" s="2" t="inlineStr">
        <is>
          <t>FRS00032</t>
        </is>
      </c>
      <c r="F176" s="3">
        <f>_xlfn.XLOOKUP(Table1[[#This Row],[Code Frs]],'CODE FRS'!B:B,'CODE FRS'!C:C)</f>
        <v/>
      </c>
      <c r="G176" s="2" t="inlineStr">
        <is>
          <t>CH4303RB/CD2378RB</t>
        </is>
      </c>
      <c r="H176" s="2" t="n">
        <v>169033589</v>
      </c>
      <c r="I176" s="2" t="n">
        <v>40</v>
      </c>
      <c r="J176" s="2" t="inlineStr">
        <is>
          <t>APROUVE</t>
        </is>
      </c>
      <c r="K176" s="2">
        <f>_xlfn.IFNA(_xlfn.XLOOKUP(Table1[[#This Row],[N° BC]],'Commandes Dechargees'!B:B,'Commandes Dechargees'!P:P),"EN ATTENTE DE DECHARGEMENT")</f>
        <v/>
      </c>
    </row>
    <row r="177" ht="25.5" customHeight="1">
      <c r="C177" s="24" t="n">
        <v>46274</v>
      </c>
      <c r="D177" s="2" t="inlineStr">
        <is>
          <t>0173-BC-SHEA/NAP-2026</t>
        </is>
      </c>
      <c r="E177" s="2" t="inlineStr">
        <is>
          <t>FRS00001</t>
        </is>
      </c>
      <c r="F177" s="3">
        <f>_xlfn.XLOOKUP(Table1[[#This Row],[Code Frs]],'CODE FRS'!B:B,'CODE FRS'!C:C)</f>
        <v/>
      </c>
      <c r="G177" s="2" t="inlineStr">
        <is>
          <t>BT3075RB /BR9056RB</t>
        </is>
      </c>
      <c r="H177" s="2" t="n">
        <v>163752699</v>
      </c>
      <c r="I177" s="2" t="n">
        <v>50</v>
      </c>
      <c r="J177" s="2" t="inlineStr">
        <is>
          <t>APROUVE</t>
        </is>
      </c>
      <c r="K177" s="2">
        <f>_xlfn.IFNA(_xlfn.XLOOKUP(Table1[[#This Row],[N° BC]],'Commandes Dechargees'!B:B,'Commandes Dechargees'!P:P),"EN ATTENTE DE DECHARGEMENT")</f>
        <v/>
      </c>
    </row>
    <row r="178" ht="25.5" customHeight="1">
      <c r="C178" s="24" t="n">
        <v>46274</v>
      </c>
      <c r="D178" s="2" t="inlineStr">
        <is>
          <t>0174-BC-SHEA/NAP-2026</t>
        </is>
      </c>
      <c r="E178" s="2" t="inlineStr">
        <is>
          <t>FRS00004</t>
        </is>
      </c>
      <c r="F178" s="3">
        <f>_xlfn.XLOOKUP(Table1[[#This Row],[Code Frs]],'CODE FRS'!B:B,'CODE FRS'!C:C)</f>
        <v/>
      </c>
      <c r="G178" s="2" t="inlineStr">
        <is>
          <t>CC4813RB/CD6281RB</t>
        </is>
      </c>
      <c r="H178" s="2" t="n">
        <v>194448829</v>
      </c>
      <c r="I178" s="2" t="n">
        <v>50</v>
      </c>
      <c r="J178" s="2" t="inlineStr">
        <is>
          <t>APROUVE</t>
        </is>
      </c>
      <c r="K178" s="2">
        <f>_xlfn.IFNA(_xlfn.XLOOKUP(Table1[[#This Row],[N° BC]],'Commandes Dechargees'!B:B,'Commandes Dechargees'!P:P),"EN ATTENTE DE DECHARGEMENT")</f>
        <v/>
      </c>
    </row>
    <row r="179" ht="25.5" customHeight="1">
      <c r="C179" s="24" t="n">
        <v>46274</v>
      </c>
      <c r="D179" s="2" t="inlineStr">
        <is>
          <t>0175-BC-SHEA/NAP-2026</t>
        </is>
      </c>
      <c r="E179" s="2" t="inlineStr">
        <is>
          <t>FRS00021</t>
        </is>
      </c>
      <c r="F179" s="3">
        <f>_xlfn.XLOOKUP(Table1[[#This Row],[Code Frs]],'CODE FRS'!B:B,'CODE FRS'!C:C)</f>
        <v/>
      </c>
      <c r="G179" s="2" t="inlineStr">
        <is>
          <t>BV1233RB/CA8238RB</t>
        </is>
      </c>
      <c r="H179" s="2" t="n">
        <v>195750304</v>
      </c>
      <c r="I179" s="2" t="n">
        <v>50</v>
      </c>
      <c r="J179" s="2" t="inlineStr">
        <is>
          <t>APROUVE</t>
        </is>
      </c>
      <c r="K179" s="2">
        <f>_xlfn.IFNA(_xlfn.XLOOKUP(Table1[[#This Row],[N° BC]],'Commandes Dechargees'!B:B,'Commandes Dechargees'!P:P),"EN ATTENTE DE DECHARGEMENT")</f>
        <v/>
      </c>
    </row>
    <row r="180" ht="25.5" customHeight="1">
      <c r="C180" s="24" t="n">
        <v>46274</v>
      </c>
      <c r="D180" s="2" t="inlineStr">
        <is>
          <t>0176-BC-SHEA/NAP-2026</t>
        </is>
      </c>
      <c r="E180" s="2" t="inlineStr">
        <is>
          <t>FRS00021</t>
        </is>
      </c>
      <c r="F180" s="3">
        <f>_xlfn.XLOOKUP(Table1[[#This Row],[Code Frs]],'CODE FRS'!B:B,'CODE FRS'!C:C)</f>
        <v/>
      </c>
      <c r="G180" s="2" t="inlineStr">
        <is>
          <t>BN7554RB/AV8632RB</t>
        </is>
      </c>
      <c r="H180" s="2" t="n">
        <v>143412685</v>
      </c>
      <c r="I180" s="2" t="n">
        <v>45</v>
      </c>
      <c r="J180" s="2" t="inlineStr">
        <is>
          <t>EN ATTENTE</t>
        </is>
      </c>
      <c r="K180" s="2">
        <f>_xlfn.IFNA(_xlfn.XLOOKUP(Table1[[#This Row],[N° BC]],'Commandes Dechargees'!B:B,'Commandes Dechargees'!P:P),"EN ATTENTE DE DECHARGEMENT")</f>
        <v/>
      </c>
    </row>
    <row r="181" ht="25.5" customHeight="1">
      <c r="C181" s="24" t="n">
        <v>46274</v>
      </c>
      <c r="D181" s="2" t="inlineStr">
        <is>
          <t>0177-BC-SHEA/NAP-2026</t>
        </is>
      </c>
      <c r="E181" s="2" t="inlineStr">
        <is>
          <t>FRS00045</t>
        </is>
      </c>
      <c r="F181" s="3">
        <f>_xlfn.XLOOKUP(Table1[[#This Row],[Code Frs]],'CODE FRS'!B:B,'CODE FRS'!C:C)</f>
        <v/>
      </c>
      <c r="G181" s="2" t="inlineStr">
        <is>
          <t>AR4612RB/BK0674RB</t>
        </is>
      </c>
      <c r="H181" s="2" t="n">
        <v>144701570</v>
      </c>
      <c r="I181" s="2" t="n">
        <v>41</v>
      </c>
      <c r="J181" s="2" t="inlineStr">
        <is>
          <t>APROUVE</t>
        </is>
      </c>
      <c r="K181" s="2">
        <f>_xlfn.IFNA(_xlfn.XLOOKUP(Table1[[#This Row],[N° BC]],'Commandes Dechargees'!B:B,'Commandes Dechargees'!P:P),"EN ATTENTE DE DECHARGEMENT")</f>
        <v/>
      </c>
    </row>
    <row r="182" ht="25.5" customHeight="1">
      <c r="C182" s="24" t="n">
        <v>46275</v>
      </c>
      <c r="D182" s="2" t="inlineStr">
        <is>
          <t>0178-BC-SHEA/NAP-2026</t>
        </is>
      </c>
      <c r="E182" s="2" t="inlineStr">
        <is>
          <t>FRS00010</t>
        </is>
      </c>
      <c r="F182" s="3">
        <f>_xlfn.XLOOKUP(Table1[[#This Row],[Code Frs]],'CODE FRS'!B:B,'CODE FRS'!C:C)</f>
        <v/>
      </c>
      <c r="G182" s="2" t="inlineStr">
        <is>
          <t>BX0581RB/AX4556RB</t>
        </is>
      </c>
      <c r="H182" s="2" t="n">
        <v>169472524</v>
      </c>
      <c r="I182" s="2" t="n">
        <v>33</v>
      </c>
      <c r="J182" s="2" t="inlineStr">
        <is>
          <t>EN ATTENTE</t>
        </is>
      </c>
      <c r="K182" s="2">
        <f>_xlfn.IFNA(_xlfn.XLOOKUP(Table1[[#This Row],[N° BC]],'Commandes Dechargees'!B:B,'Commandes Dechargees'!P:P),"EN ATTENTE DE DECHARGEMENT")</f>
        <v/>
      </c>
    </row>
    <row r="183" ht="25.5" customHeight="1">
      <c r="C183" s="24" t="n">
        <v>46275</v>
      </c>
      <c r="D183" s="2" t="inlineStr">
        <is>
          <t>0179-BC-SHEA/NAP-2026</t>
        </is>
      </c>
      <c r="E183" s="2" t="inlineStr">
        <is>
          <t>FRS00001</t>
        </is>
      </c>
      <c r="F183" s="3">
        <f>_xlfn.XLOOKUP(Table1[[#This Row],[Code Frs]],'CODE FRS'!B:B,'CODE FRS'!C:C)</f>
        <v/>
      </c>
      <c r="G183" s="2" t="inlineStr">
        <is>
          <t>CE6019RB/CE6020RB</t>
        </is>
      </c>
      <c r="H183" s="2" t="n">
        <v>194951894</v>
      </c>
      <c r="I183" s="2" t="n">
        <v>48</v>
      </c>
      <c r="J183" s="2" t="inlineStr">
        <is>
          <t>APROUVE</t>
        </is>
      </c>
      <c r="K183" s="2">
        <f>_xlfn.IFNA(_xlfn.XLOOKUP(Table1[[#This Row],[N° BC]],'Commandes Dechargees'!B:B,'Commandes Dechargees'!P:P),"EN ATTENTE DE DECHARGEMENT")</f>
        <v/>
      </c>
    </row>
    <row r="184" ht="25.5" customHeight="1">
      <c r="C184" s="24" t="n">
        <v>46275</v>
      </c>
      <c r="D184" s="2" t="inlineStr">
        <is>
          <t>0180-BC-SHEA/NAP-2026</t>
        </is>
      </c>
      <c r="E184" s="2" t="inlineStr">
        <is>
          <t>FRS00001</t>
        </is>
      </c>
      <c r="F184" s="3">
        <f>_xlfn.XLOOKUP(Table1[[#This Row],[Code Frs]],'CODE FRS'!B:B,'CODE FRS'!C:C)</f>
        <v/>
      </c>
      <c r="G184" s="2" t="inlineStr">
        <is>
          <t>CL5427RB/BB0754RB</t>
        </is>
      </c>
      <c r="H184" s="2" t="n">
        <v>197517818</v>
      </c>
      <c r="I184" s="2" t="n">
        <v>40</v>
      </c>
      <c r="J184" s="2" t="inlineStr">
        <is>
          <t>APROUVE</t>
        </is>
      </c>
      <c r="K184" s="2">
        <f>_xlfn.IFNA(_xlfn.XLOOKUP(Table1[[#This Row],[N° BC]],'Commandes Dechargees'!B:B,'Commandes Dechargees'!P:P),"EN ATTENTE DE DECHARGEMENT")</f>
        <v/>
      </c>
    </row>
    <row r="185" ht="25.5" customHeight="1">
      <c r="C185" s="24" t="n">
        <v>46275</v>
      </c>
      <c r="D185" s="2" t="inlineStr">
        <is>
          <t>0181-BC-SHEA/NAP-2026</t>
        </is>
      </c>
      <c r="E185" s="2" t="inlineStr">
        <is>
          <t>FRS00016</t>
        </is>
      </c>
      <c r="F185" s="3">
        <f>_xlfn.XLOOKUP(Table1[[#This Row],[Code Frs]],'CODE FRS'!B:B,'CODE FRS'!C:C)</f>
        <v/>
      </c>
      <c r="G185" s="2" t="inlineStr">
        <is>
          <t>AX1339RB/AG7502RB</t>
        </is>
      </c>
      <c r="H185" s="2" t="n">
        <v>195249339</v>
      </c>
      <c r="I185" s="2" t="n">
        <v>50</v>
      </c>
      <c r="J185" s="2" t="inlineStr">
        <is>
          <t>EN ATTENTE</t>
        </is>
      </c>
      <c r="K185" s="2">
        <f>_xlfn.IFNA(_xlfn.XLOOKUP(Table1[[#This Row],[N° BC]],'Commandes Dechargees'!B:B,'Commandes Dechargees'!P:P),"EN ATTENTE DE DECHARGEMENT")</f>
        <v/>
      </c>
    </row>
    <row r="186" ht="25.5" customHeight="1">
      <c r="C186" s="24" t="n">
        <v>46275</v>
      </c>
      <c r="D186" s="2" t="inlineStr">
        <is>
          <t>0182-BC-SHEA/NAP-2026</t>
        </is>
      </c>
      <c r="E186" s="2" t="inlineStr">
        <is>
          <t>FRS00025</t>
        </is>
      </c>
      <c r="F186" s="3">
        <f>_xlfn.XLOOKUP(Table1[[#This Row],[Code Frs]],'CODE FRS'!B:B,'CODE FRS'!C:C)</f>
        <v/>
      </c>
      <c r="G186" s="2" t="inlineStr">
        <is>
          <t>AT1252RB/AT3930RB</t>
        </is>
      </c>
      <c r="H186" s="2" t="n">
        <v>196174359</v>
      </c>
      <c r="I186" s="2" t="n">
        <v>50</v>
      </c>
      <c r="J186" s="2" t="inlineStr">
        <is>
          <t>EN ATTENTE</t>
        </is>
      </c>
      <c r="K186" s="2">
        <f>_xlfn.IFNA(_xlfn.XLOOKUP(Table1[[#This Row],[N° BC]],'Commandes Dechargees'!B:B,'Commandes Dechargees'!P:P),"EN ATTENTE DE DECHARGEMENT")</f>
        <v/>
      </c>
    </row>
    <row r="187" ht="25.5" customHeight="1">
      <c r="C187" s="24" t="n">
        <v>46275</v>
      </c>
      <c r="D187" s="2" t="inlineStr">
        <is>
          <t>0183-BC-SHEA/NAP-2026</t>
        </is>
      </c>
      <c r="E187" s="2" t="inlineStr">
        <is>
          <t>FRS00046</t>
        </is>
      </c>
      <c r="F187" s="3">
        <f>_xlfn.XLOOKUP(Table1[[#This Row],[Code Frs]],'CODE FRS'!B:B,'CODE FRS'!C:C)</f>
        <v/>
      </c>
      <c r="G187" s="2" t="inlineStr">
        <is>
          <t>CC2315RB</t>
        </is>
      </c>
      <c r="H187" s="2" t="inlineStr">
        <is>
          <t>-</t>
        </is>
      </c>
      <c r="I187" s="2" t="n">
        <v>17</v>
      </c>
      <c r="J187" s="2" t="inlineStr">
        <is>
          <t>APROUVE</t>
        </is>
      </c>
      <c r="K187" s="2">
        <f>_xlfn.IFNA(_xlfn.XLOOKUP(Table1[[#This Row],[N° BC]],'Commandes Dechargees'!B:B,'Commandes Dechargees'!P:P),"EN ATTENTE DE DECHARGEMENT")</f>
        <v/>
      </c>
    </row>
    <row r="188" ht="25.5" customHeight="1">
      <c r="C188" s="24" t="n">
        <v>46275</v>
      </c>
      <c r="D188" s="2" t="inlineStr">
        <is>
          <t>0184-BC-SHEA/NAP-2026</t>
        </is>
      </c>
      <c r="E188" s="2" t="inlineStr">
        <is>
          <t>FRS00021</t>
        </is>
      </c>
      <c r="F188" s="3">
        <f>_xlfn.XLOOKUP(Table1[[#This Row],[Code Frs]],'CODE FRS'!B:B,'CODE FRS'!C:C)</f>
        <v/>
      </c>
      <c r="G188" s="2" t="inlineStr">
        <is>
          <t>CH3119RB/AS9095RB</t>
        </is>
      </c>
      <c r="H188" s="2" t="n">
        <v>194338432</v>
      </c>
      <c r="I188" s="2" t="n">
        <v>45</v>
      </c>
      <c r="J188" s="2" t="inlineStr">
        <is>
          <t>EN ATTENTE</t>
        </is>
      </c>
      <c r="K188" s="2">
        <f>_xlfn.IFNA(_xlfn.XLOOKUP(Table1[[#This Row],[N° BC]],'Commandes Dechargees'!B:B,'Commandes Dechargees'!P:P),"EN ATTENTE DE DECHARGEMENT")</f>
        <v/>
      </c>
    </row>
    <row r="189" ht="25.5" customHeight="1">
      <c r="C189" s="24" t="n">
        <v>46275</v>
      </c>
      <c r="D189" s="2" t="inlineStr">
        <is>
          <t>0185-BC-SHEA/NAP-2026</t>
        </is>
      </c>
      <c r="E189" s="2" t="inlineStr">
        <is>
          <t>FRS00022</t>
        </is>
      </c>
      <c r="F189" s="3">
        <f>_xlfn.XLOOKUP(Table1[[#This Row],[Code Frs]],'CODE FRS'!B:B,'CODE FRS'!C:C)</f>
        <v/>
      </c>
      <c r="G189" s="2" t="inlineStr">
        <is>
          <t>BP5945RB/BY 8609RB</t>
        </is>
      </c>
      <c r="H189" s="2" t="n">
        <v>197383815</v>
      </c>
      <c r="I189" s="2" t="n">
        <v>38</v>
      </c>
      <c r="J189" s="2" t="inlineStr">
        <is>
          <t>APROUVE</t>
        </is>
      </c>
      <c r="K189" s="2">
        <f>_xlfn.IFNA(_xlfn.XLOOKUP(Table1[[#This Row],[N° BC]],'Commandes Dechargees'!B:B,'Commandes Dechargees'!P:P),"EN ATTENTE DE DECHARGEMENT")</f>
        <v/>
      </c>
    </row>
    <row r="190" ht="25.5" customHeight="1">
      <c r="C190" s="24" t="n">
        <v>46275</v>
      </c>
      <c r="D190" s="2" t="inlineStr">
        <is>
          <t>0186-BC-SHEA/NAP-2026</t>
        </is>
      </c>
      <c r="E190" s="2" t="inlineStr">
        <is>
          <t>FRS00022</t>
        </is>
      </c>
      <c r="F190" s="3">
        <f>_xlfn.XLOOKUP(Table1[[#This Row],[Code Frs]],'CODE FRS'!B:B,'CODE FRS'!C:C)</f>
        <v/>
      </c>
      <c r="G190" s="2" t="inlineStr">
        <is>
          <t>BT8152RB/BT8150RB</t>
        </is>
      </c>
      <c r="H190" s="2" t="n">
        <v>141544131</v>
      </c>
      <c r="I190" s="2" t="n">
        <v>35</v>
      </c>
      <c r="J190" s="2" t="inlineStr">
        <is>
          <t>APROUVE</t>
        </is>
      </c>
      <c r="K190" s="2">
        <f>_xlfn.IFNA(_xlfn.XLOOKUP(Table1[[#This Row],[N° BC]],'Commandes Dechargees'!B:B,'Commandes Dechargees'!P:P),"EN ATTENTE DE DECHARGEMENT")</f>
        <v/>
      </c>
    </row>
    <row r="191" ht="25.5" customHeight="1">
      <c r="C191" s="24" t="n">
        <v>46275</v>
      </c>
      <c r="D191" s="2" t="inlineStr">
        <is>
          <t>0187-BC-SHEA/NAP-2026</t>
        </is>
      </c>
      <c r="E191" s="2" t="inlineStr">
        <is>
          <t>FRS00039</t>
        </is>
      </c>
      <c r="F191" s="3">
        <f>_xlfn.XLOOKUP(Table1[[#This Row],[Code Frs]],'CODE FRS'!B:B,'CODE FRS'!C:C)</f>
        <v/>
      </c>
      <c r="G191" s="2" t="inlineStr">
        <is>
          <t>BD7461RB/BE5492RB</t>
        </is>
      </c>
      <c r="H191" s="2" t="n">
        <v>164474274</v>
      </c>
      <c r="I191" s="2" t="n">
        <v>50</v>
      </c>
      <c r="J191" s="2" t="inlineStr">
        <is>
          <t>APROUVE</t>
        </is>
      </c>
      <c r="K191" s="2">
        <f>_xlfn.IFNA(_xlfn.XLOOKUP(Table1[[#This Row],[N° BC]],'Commandes Dechargees'!B:B,'Commandes Dechargees'!P:P),"EN ATTENTE DE DECHARGEMENT")</f>
        <v/>
      </c>
    </row>
    <row r="192" ht="25.5" customHeight="1">
      <c r="C192" s="24" t="n">
        <v>46276</v>
      </c>
      <c r="D192" s="2" t="inlineStr">
        <is>
          <t>0188-BC-SHEA/NAP-2026</t>
        </is>
      </c>
      <c r="E192" s="2" t="inlineStr">
        <is>
          <t>FRS00009</t>
        </is>
      </c>
      <c r="F192" s="3">
        <f>_xlfn.XLOOKUP(Table1[[#This Row],[Code Frs]],'CODE FRS'!B:B,'CODE FRS'!C:C)</f>
        <v/>
      </c>
      <c r="G192" s="2" t="inlineStr">
        <is>
          <t>BU4348RB/CA1024RB</t>
        </is>
      </c>
      <c r="H192" s="2" t="n">
        <v>166784282</v>
      </c>
      <c r="I192" s="2" t="n">
        <v>50</v>
      </c>
      <c r="J192" s="2" t="inlineStr">
        <is>
          <t>APROUVE</t>
        </is>
      </c>
      <c r="K192" s="2">
        <f>_xlfn.IFNA(_xlfn.XLOOKUP(Table1[[#This Row],[N° BC]],'Commandes Dechargees'!B:B,'Commandes Dechargees'!P:P),"EN ATTENTE DE DECHARGEMENT")</f>
        <v/>
      </c>
    </row>
    <row r="193" ht="25.5" customHeight="1">
      <c r="C193" s="24" t="n">
        <v>46276</v>
      </c>
      <c r="D193" s="2" t="inlineStr">
        <is>
          <t>0189-BC-SHEA/NAP-2026</t>
        </is>
      </c>
      <c r="E193" s="2" t="inlineStr">
        <is>
          <t>FRS00004</t>
        </is>
      </c>
      <c r="F193" s="3">
        <f>_xlfn.XLOOKUP(Table1[[#This Row],[Code Frs]],'CODE FRS'!B:B,'CODE FRS'!C:C)</f>
        <v/>
      </c>
      <c r="G193" s="2" t="inlineStr">
        <is>
          <t>CC2595RB</t>
        </is>
      </c>
      <c r="H193" s="2" t="n">
        <v>144234747</v>
      </c>
      <c r="I193" s="2" t="n">
        <v>50</v>
      </c>
      <c r="J193" s="2" t="inlineStr">
        <is>
          <t>APROUVE</t>
        </is>
      </c>
      <c r="K193" s="2">
        <f>_xlfn.IFNA(_xlfn.XLOOKUP(Table1[[#This Row],[N° BC]],'Commandes Dechargees'!B:B,'Commandes Dechargees'!P:P),"EN ATTENTE DE DECHARGEMENT")</f>
        <v/>
      </c>
    </row>
    <row r="194" ht="25.5" customHeight="1">
      <c r="C194" s="24" t="n">
        <v>46276</v>
      </c>
      <c r="D194" s="2" t="inlineStr">
        <is>
          <t>0190-BC-SHEA/NAP-2026</t>
        </is>
      </c>
      <c r="E194" s="2" t="inlineStr">
        <is>
          <t>FRS00032</t>
        </is>
      </c>
      <c r="F194" s="3">
        <f>_xlfn.XLOOKUP(Table1[[#This Row],[Code Frs]],'CODE FRS'!B:B,'CODE FRS'!C:C)</f>
        <v/>
      </c>
      <c r="G194" s="2" t="inlineStr">
        <is>
          <t>BV0879RB/AR6890RB</t>
        </is>
      </c>
      <c r="H194" s="2" t="n">
        <v>143578850</v>
      </c>
      <c r="I194" s="2" t="n">
        <v>50</v>
      </c>
      <c r="J194" s="2" t="inlineStr">
        <is>
          <t>APROUVE</t>
        </is>
      </c>
      <c r="K194" s="2">
        <f>_xlfn.IFNA(_xlfn.XLOOKUP(Table1[[#This Row],[N° BC]],'Commandes Dechargees'!B:B,'Commandes Dechargees'!P:P),"EN ATTENTE DE DECHARGEMENT")</f>
        <v/>
      </c>
    </row>
    <row r="195" ht="25.5" customHeight="1">
      <c r="C195" s="24" t="n">
        <v>46276</v>
      </c>
      <c r="D195" s="2" t="inlineStr">
        <is>
          <t>0191-BC-SHEA/NAP-2026</t>
        </is>
      </c>
      <c r="E195" s="2" t="inlineStr">
        <is>
          <t>FRS00004</t>
        </is>
      </c>
      <c r="F195" s="3">
        <f>_xlfn.XLOOKUP(Table1[[#This Row],[Code Frs]],'CODE FRS'!B:B,'CODE FRS'!C:C)</f>
        <v/>
      </c>
      <c r="G195" s="2" t="inlineStr">
        <is>
          <t>CC4207RB</t>
        </is>
      </c>
      <c r="H195" s="2" t="n">
        <v>144296907</v>
      </c>
      <c r="I195" s="2" t="n">
        <v>50</v>
      </c>
      <c r="J195" s="2" t="inlineStr">
        <is>
          <t>EN ATTENTE</t>
        </is>
      </c>
      <c r="K195" s="2">
        <f>_xlfn.IFNA(_xlfn.XLOOKUP(Table1[[#This Row],[N° BC]],'Commandes Dechargees'!B:B,'Commandes Dechargees'!P:P),"EN ATTENTE DE DECHARGEMENT")</f>
        <v/>
      </c>
    </row>
    <row r="196" ht="25.5" customHeight="1">
      <c r="C196" s="24" t="n">
        <v>46276</v>
      </c>
      <c r="D196" s="2" t="inlineStr">
        <is>
          <t>0192-BC-SHEA/NAP-2026</t>
        </is>
      </c>
      <c r="E196" s="2" t="inlineStr">
        <is>
          <t>FRS00004</t>
        </is>
      </c>
      <c r="F196" s="3">
        <f>_xlfn.XLOOKUP(Table1[[#This Row],[Code Frs]],'CODE FRS'!B:B,'CODE FRS'!C:C)</f>
        <v/>
      </c>
      <c r="G196" s="2" t="inlineStr">
        <is>
          <t>CA5363RB</t>
        </is>
      </c>
      <c r="H196" s="2" t="n">
        <v>166220268</v>
      </c>
      <c r="I196" s="2" t="n">
        <v>50</v>
      </c>
      <c r="J196" s="2" t="inlineStr">
        <is>
          <t>APROUVE</t>
        </is>
      </c>
      <c r="K196" s="2">
        <f>_xlfn.IFNA(_xlfn.XLOOKUP(Table1[[#This Row],[N° BC]],'Commandes Dechargees'!B:B,'Commandes Dechargees'!P:P),"EN ATTENTE DE DECHARGEMENT")</f>
        <v/>
      </c>
    </row>
    <row r="197" ht="25.5" customHeight="1">
      <c r="C197" s="24" t="n">
        <v>46276</v>
      </c>
      <c r="D197" s="2" t="inlineStr">
        <is>
          <t>0193-BC-SHEA/NAP-2026</t>
        </is>
      </c>
      <c r="E197" s="2" t="inlineStr">
        <is>
          <t>FRS00045</t>
        </is>
      </c>
      <c r="F197" s="3">
        <f>_xlfn.XLOOKUP(Table1[[#This Row],[Code Frs]],'CODE FRS'!B:B,'CODE FRS'!C:C)</f>
        <v/>
      </c>
      <c r="G197" s="2" t="inlineStr">
        <is>
          <t>BR7384RB/AP3753RB</t>
        </is>
      </c>
      <c r="H197" s="2" t="n">
        <v>141277475</v>
      </c>
      <c r="I197" s="2" t="n">
        <v>35</v>
      </c>
      <c r="J197" s="2" t="inlineStr">
        <is>
          <t>APROUVE</t>
        </is>
      </c>
      <c r="K197" s="2">
        <f>_xlfn.IFNA(_xlfn.XLOOKUP(Table1[[#This Row],[N° BC]],'Commandes Dechargees'!B:B,'Commandes Dechargees'!P:P),"EN ATTENTE DE DECHARGEMENT")</f>
        <v/>
      </c>
    </row>
    <row r="198" ht="25.5" customHeight="1">
      <c r="C198" s="24" t="n">
        <v>46276</v>
      </c>
      <c r="D198" s="2" t="inlineStr">
        <is>
          <t>0194-BC-SHEA/NAP-2026</t>
        </is>
      </c>
      <c r="E198" s="2" t="inlineStr">
        <is>
          <t>FRS00025</t>
        </is>
      </c>
      <c r="F198" s="3">
        <f>_xlfn.XLOOKUP(Table1[[#This Row],[Code Frs]],'CODE FRS'!B:B,'CODE FRS'!C:C)</f>
        <v/>
      </c>
      <c r="G198" s="2" t="inlineStr">
        <is>
          <t>BS5267RB/AL4802RB</t>
        </is>
      </c>
      <c r="H198" s="2" t="n">
        <v>197379795</v>
      </c>
      <c r="I198" s="2" t="n">
        <v>45</v>
      </c>
      <c r="J198" s="2" t="inlineStr">
        <is>
          <t>EN ATTENTE</t>
        </is>
      </c>
      <c r="K198" s="2">
        <f>_xlfn.IFNA(_xlfn.XLOOKUP(Table1[[#This Row],[N° BC]],'Commandes Dechargees'!B:B,'Commandes Dechargees'!P:P),"EN ATTENTE DE DECHARGEMENT")</f>
        <v/>
      </c>
    </row>
    <row r="199" ht="25.5" customHeight="1">
      <c r="C199" s="24" t="n">
        <v>46276</v>
      </c>
      <c r="D199" s="2" t="inlineStr">
        <is>
          <t>0195-BC-SHEA/NAP-2026</t>
        </is>
      </c>
      <c r="E199" s="2" t="inlineStr">
        <is>
          <t>FRS00026</t>
        </is>
      </c>
      <c r="F199" s="3">
        <f>_xlfn.XLOOKUP(Table1[[#This Row],[Code Frs]],'CODE FRS'!B:B,'CODE FRS'!C:C)</f>
        <v/>
      </c>
      <c r="G199" s="2" t="inlineStr">
        <is>
          <t>CF7640RB/CF7822RB</t>
        </is>
      </c>
      <c r="H199" s="2" t="n">
        <v>148003457</v>
      </c>
      <c r="I199" s="2" t="n">
        <v>50</v>
      </c>
      <c r="J199" s="2" t="inlineStr">
        <is>
          <t>EN ATTENTE</t>
        </is>
      </c>
      <c r="K199" s="2">
        <f>_xlfn.IFNA(_xlfn.XLOOKUP(Table1[[#This Row],[N° BC]],'Commandes Dechargees'!B:B,'Commandes Dechargees'!P:P),"EN ATTENTE DE DECHARGEMENT")</f>
        <v/>
      </c>
    </row>
    <row r="200" ht="25.5" customHeight="1">
      <c r="C200" s="24" t="n">
        <v>46276</v>
      </c>
      <c r="D200" s="2" t="inlineStr">
        <is>
          <t>0196-BC-SHEA/NAP-2026</t>
        </is>
      </c>
      <c r="E200" s="2" t="inlineStr">
        <is>
          <t>FRS00026</t>
        </is>
      </c>
      <c r="F200" s="3">
        <f>_xlfn.XLOOKUP(Table1[[#This Row],[Code Frs]],'CODE FRS'!B:B,'CODE FRS'!C:C)</f>
        <v/>
      </c>
      <c r="G200" s="2" t="inlineStr">
        <is>
          <t>BR1679RB/AZ2904RB</t>
        </is>
      </c>
      <c r="H200" s="2" t="n">
        <v>140270310</v>
      </c>
      <c r="I200" s="2" t="n">
        <v>50</v>
      </c>
      <c r="J200" s="2" t="inlineStr">
        <is>
          <t>EN ATTENTE</t>
        </is>
      </c>
      <c r="K200" s="2">
        <f>_xlfn.IFNA(_xlfn.XLOOKUP(Table1[[#This Row],[N° BC]],'Commandes Dechargees'!B:B,'Commandes Dechargees'!P:P),"EN ATTENTE DE DECHARGEMENT")</f>
        <v/>
      </c>
    </row>
    <row r="201" ht="25.5" customHeight="1">
      <c r="C201" s="24" t="n">
        <v>46276</v>
      </c>
      <c r="D201" s="2" t="inlineStr">
        <is>
          <t>0197-BC-SHEA/NAP-2026</t>
        </is>
      </c>
      <c r="E201" s="2" t="inlineStr">
        <is>
          <t>FRS00016</t>
        </is>
      </c>
      <c r="F201" s="3">
        <f>_xlfn.XLOOKUP(Table1[[#This Row],[Code Frs]],'CODE FRS'!B:B,'CODE FRS'!C:C)</f>
        <v/>
      </c>
      <c r="G201" s="2" t="inlineStr">
        <is>
          <t>CJ4361RB/AX9406RB</t>
        </is>
      </c>
      <c r="H201" s="2" t="n">
        <v>196432278</v>
      </c>
      <c r="I201" s="2" t="n">
        <v>50</v>
      </c>
      <c r="J201" s="2" t="inlineStr">
        <is>
          <t>EN ATTENTE</t>
        </is>
      </c>
      <c r="K201" s="2">
        <f>_xlfn.IFNA(_xlfn.XLOOKUP(Table1[[#This Row],[N° BC]],'Commandes Dechargees'!B:B,'Commandes Dechargees'!P:P),"EN ATTENTE DE DECHARGEMENT")</f>
        <v/>
      </c>
    </row>
    <row r="202" ht="25.5" customHeight="1">
      <c r="C202" s="24" t="n">
        <v>46276</v>
      </c>
      <c r="D202" s="2" t="inlineStr">
        <is>
          <t>0198-BC-SHEA/NAP-2026</t>
        </is>
      </c>
      <c r="E202" s="2" t="inlineStr">
        <is>
          <t>FRS00006</t>
        </is>
      </c>
      <c r="F202" s="3">
        <f>_xlfn.XLOOKUP(Table1[[#This Row],[Code Frs]],'CODE FRS'!B:B,'CODE FRS'!C:C)</f>
        <v/>
      </c>
      <c r="G202" s="2" t="inlineStr">
        <is>
          <t xml:space="preserve"> BS5349RB/BS5348RB</t>
        </is>
      </c>
      <c r="H202" s="2" t="n">
        <v>144232584</v>
      </c>
      <c r="I202" s="2" t="n">
        <v>50</v>
      </c>
      <c r="J202" s="2" t="inlineStr">
        <is>
          <t>APROUVE</t>
        </is>
      </c>
      <c r="K202" s="2">
        <f>_xlfn.IFNA(_xlfn.XLOOKUP(Table1[[#This Row],[N° BC]],'Commandes Dechargees'!B:B,'Commandes Dechargees'!P:P),"EN ATTENTE DE DECHARGEMENT")</f>
        <v/>
      </c>
    </row>
    <row r="203" ht="25.5" customHeight="1">
      <c r="C203" s="24" t="n">
        <v>46277</v>
      </c>
      <c r="D203" s="2" t="inlineStr">
        <is>
          <t>0199-BC-SHEA/NAP-2026</t>
        </is>
      </c>
      <c r="E203" s="2" t="inlineStr">
        <is>
          <t>FRS00016</t>
        </is>
      </c>
      <c r="F203" s="3">
        <f>_xlfn.XLOOKUP(Table1[[#This Row],[Code Frs]],'CODE FRS'!B:B,'CODE FRS'!C:C)</f>
        <v/>
      </c>
      <c r="G203" s="2" t="inlineStr">
        <is>
          <t>BU1244RB/BV9648RB</t>
        </is>
      </c>
      <c r="H203" s="2" t="n">
        <v>191965547</v>
      </c>
      <c r="I203" s="2" t="n">
        <v>50</v>
      </c>
      <c r="J203" s="2" t="inlineStr">
        <is>
          <t>APROUVE</t>
        </is>
      </c>
      <c r="K203" s="2">
        <f>_xlfn.IFNA(_xlfn.XLOOKUP(Table1[[#This Row],[N° BC]],'Commandes Dechargees'!B:B,'Commandes Dechargees'!P:P),"EN ATTENTE DE DECHARGEMENT")</f>
        <v/>
      </c>
    </row>
    <row r="204" ht="25.5" customHeight="1">
      <c r="C204" s="24" t="n">
        <v>46277</v>
      </c>
      <c r="D204" s="2" t="inlineStr">
        <is>
          <t>0200-BC-SHEA/NAP-2026</t>
        </is>
      </c>
      <c r="E204" s="2" t="inlineStr">
        <is>
          <t>FRS00032</t>
        </is>
      </c>
      <c r="F204" s="3">
        <f>_xlfn.XLOOKUP(Table1[[#This Row],[Code Frs]],'CODE FRS'!B:B,'CODE FRS'!C:C)</f>
        <v/>
      </c>
      <c r="G204" s="2" t="inlineStr">
        <is>
          <t>CF0609RB/0565RB</t>
        </is>
      </c>
      <c r="H204" s="2" t="n">
        <v>195627243</v>
      </c>
      <c r="I204" s="2" t="n">
        <v>50</v>
      </c>
      <c r="J204" s="2" t="inlineStr">
        <is>
          <t>APROUVE</t>
        </is>
      </c>
      <c r="K204" s="2">
        <f>_xlfn.IFNA(_xlfn.XLOOKUP(Table1[[#This Row],[N° BC]],'Commandes Dechargees'!B:B,'Commandes Dechargees'!P:P),"EN ATTENTE DE DECHARGEMENT")</f>
        <v/>
      </c>
    </row>
    <row r="205" ht="25.5" customHeight="1">
      <c r="C205" s="24" t="n">
        <v>46277</v>
      </c>
      <c r="D205" s="2" t="inlineStr">
        <is>
          <t>0201-BC-SHEA/NAP-2026</t>
        </is>
      </c>
      <c r="E205" s="2" t="inlineStr">
        <is>
          <t>FRS00039</t>
        </is>
      </c>
      <c r="F205" s="3">
        <f>_xlfn.XLOOKUP(Table1[[#This Row],[Code Frs]],'CODE FRS'!B:B,'CODE FRS'!C:C)</f>
        <v/>
      </c>
      <c r="G205" s="2" t="inlineStr">
        <is>
          <t xml:space="preserve"> CJ5557RB/CJ1535RB</t>
        </is>
      </c>
      <c r="H205" s="2" t="n">
        <v>140770721</v>
      </c>
      <c r="I205" s="2" t="n">
        <v>50</v>
      </c>
      <c r="J205" s="2" t="inlineStr">
        <is>
          <t>APROUVE</t>
        </is>
      </c>
      <c r="K205" s="2">
        <f>_xlfn.IFNA(_xlfn.XLOOKUP(Table1[[#This Row],[N° BC]],'Commandes Dechargees'!B:B,'Commandes Dechargees'!P:P),"EN ATTENTE DE DECHARGEMENT")</f>
        <v/>
      </c>
    </row>
    <row r="206" ht="25.5" customHeight="1">
      <c r="C206" s="24" t="n">
        <v>46277</v>
      </c>
      <c r="D206" s="2" t="inlineStr">
        <is>
          <t>0202-BC-SHEA/NAP-2026</t>
        </is>
      </c>
      <c r="E206" s="2" t="inlineStr">
        <is>
          <t>FRS00039</t>
        </is>
      </c>
      <c r="F206" s="3">
        <f>_xlfn.XLOOKUP(Table1[[#This Row],[Code Frs]],'CODE FRS'!B:B,'CODE FRS'!C:C)</f>
        <v/>
      </c>
      <c r="G206" s="2" t="inlineStr">
        <is>
          <t>BY2540RB/AM9033RB</t>
        </is>
      </c>
      <c r="H206" s="2" t="n">
        <v>197000603</v>
      </c>
      <c r="I206" s="2" t="n">
        <v>50</v>
      </c>
      <c r="J206" s="2" t="inlineStr">
        <is>
          <t>EN ATTENTE</t>
        </is>
      </c>
      <c r="K206" s="2">
        <f>_xlfn.IFNA(_xlfn.XLOOKUP(Table1[[#This Row],[N° BC]],'Commandes Dechargees'!B:B,'Commandes Dechargees'!P:P),"EN ATTENTE DE DECHARGEMENT")</f>
        <v/>
      </c>
    </row>
    <row r="207" ht="25.5" customHeight="1">
      <c r="C207" s="24" t="n">
        <v>46279</v>
      </c>
      <c r="D207" s="2" t="inlineStr">
        <is>
          <t>0203-BC-SHEA/NAP-2026</t>
        </is>
      </c>
      <c r="E207" s="2" t="inlineStr">
        <is>
          <t>FRS00016</t>
        </is>
      </c>
      <c r="F207" s="3">
        <f>_xlfn.XLOOKUP(Table1[[#This Row],[Code Frs]],'CODE FRS'!B:B,'CODE FRS'!C:C)</f>
        <v/>
      </c>
      <c r="G207" s="2" t="inlineStr">
        <is>
          <t>CL0086RB</t>
        </is>
      </c>
      <c r="H207" s="2" t="n">
        <v>140901200</v>
      </c>
      <c r="I207" s="2" t="n">
        <v>50</v>
      </c>
      <c r="J207" s="2" t="inlineStr">
        <is>
          <t>APROUVE</t>
        </is>
      </c>
      <c r="K207" s="2">
        <f>_xlfn.IFNA(_xlfn.XLOOKUP(Table1[[#This Row],[N° BC]],'Commandes Dechargees'!B:B,'Commandes Dechargees'!P:P),"EN ATTENTE DE DECHARGEMENT")</f>
        <v/>
      </c>
    </row>
    <row r="208" ht="25.5" customHeight="1">
      <c r="C208" s="24" t="n">
        <v>46279</v>
      </c>
      <c r="D208" s="2" t="inlineStr">
        <is>
          <t>0204-BC-SHEA/NAP-2026</t>
        </is>
      </c>
      <c r="E208" s="2" t="inlineStr">
        <is>
          <t>FRS00001</t>
        </is>
      </c>
      <c r="F208" s="3">
        <f>_xlfn.XLOOKUP(Table1[[#This Row],[Code Frs]],'CODE FRS'!B:B,'CODE FRS'!C:C)</f>
        <v/>
      </c>
      <c r="G208" s="2" t="inlineStr">
        <is>
          <t>BX7455RB/AM4012RB</t>
        </is>
      </c>
      <c r="H208" s="2" t="n">
        <v>166560563</v>
      </c>
      <c r="I208" s="2" t="n">
        <v>40</v>
      </c>
      <c r="J208" s="2" t="inlineStr">
        <is>
          <t>EN ATTENTE</t>
        </is>
      </c>
      <c r="K208" s="2">
        <f>_xlfn.IFNA(_xlfn.XLOOKUP(Table1[[#This Row],[N° BC]],'Commandes Dechargees'!B:B,'Commandes Dechargees'!P:P),"EN ATTENTE DE DECHARGEMENT")</f>
        <v/>
      </c>
    </row>
    <row r="209" ht="25.5" customHeight="1">
      <c r="C209" s="24" t="n">
        <v>46279</v>
      </c>
      <c r="D209" s="2" t="inlineStr">
        <is>
          <t>0205-BC-SHEA/NAP-2026</t>
        </is>
      </c>
      <c r="E209" s="2" t="inlineStr">
        <is>
          <t>FRS00016</t>
        </is>
      </c>
      <c r="F209" s="3">
        <f>_xlfn.XLOOKUP(Table1[[#This Row],[Code Frs]],'CODE FRS'!B:B,'CODE FRS'!C:C)</f>
        <v/>
      </c>
      <c r="G209" s="2" t="inlineStr">
        <is>
          <t>BN7448RB/AN5495RB</t>
        </is>
      </c>
      <c r="H209" s="2" t="n">
        <v>156048708</v>
      </c>
      <c r="I209" s="2" t="n">
        <v>50</v>
      </c>
      <c r="J209" s="2" t="inlineStr">
        <is>
          <t>EN ATTENTE</t>
        </is>
      </c>
      <c r="K209" s="2">
        <f>_xlfn.IFNA(_xlfn.XLOOKUP(Table1[[#This Row],[N° BC]],'Commandes Dechargees'!B:B,'Commandes Dechargees'!P:P),"EN ATTENTE DE DECHARGEMENT")</f>
        <v/>
      </c>
    </row>
    <row r="210" ht="25.5" customHeight="1">
      <c r="C210" s="24" t="n">
        <v>46279</v>
      </c>
      <c r="D210" s="2" t="inlineStr">
        <is>
          <t>0206-BC-SHEA/NAP-2026</t>
        </is>
      </c>
      <c r="E210" s="2" t="inlineStr">
        <is>
          <t>FRS00011</t>
        </is>
      </c>
      <c r="F210" s="3">
        <f>_xlfn.XLOOKUP(Table1[[#This Row],[Code Frs]],'CODE FRS'!B:B,'CODE FRS'!C:C)</f>
        <v/>
      </c>
      <c r="G210" s="2" t="inlineStr">
        <is>
          <t>BV6583RB/BN7484</t>
        </is>
      </c>
      <c r="H210" s="2" t="n">
        <v>197227042</v>
      </c>
      <c r="I210" s="2" t="n">
        <v>45</v>
      </c>
      <c r="J210" s="2" t="inlineStr">
        <is>
          <t>EN ATTENTE</t>
        </is>
      </c>
      <c r="K210" s="2">
        <f>_xlfn.IFNA(_xlfn.XLOOKUP(Table1[[#This Row],[N° BC]],'Commandes Dechargees'!B:B,'Commandes Dechargees'!P:P),"EN ATTENTE DE DECHARGEMENT")</f>
        <v/>
      </c>
    </row>
    <row r="211" ht="25.5" customHeight="1">
      <c r="C211" s="24" t="n">
        <v>46279</v>
      </c>
      <c r="D211" s="2" t="inlineStr">
        <is>
          <t>0207-BC-SHEA/NAP-2026</t>
        </is>
      </c>
      <c r="E211" s="2" t="inlineStr">
        <is>
          <t>FRS00004</t>
        </is>
      </c>
      <c r="F211" s="3">
        <f>_xlfn.XLOOKUP(Table1[[#This Row],[Code Frs]],'CODE FRS'!B:B,'CODE FRS'!C:C)</f>
        <v/>
      </c>
      <c r="G211" s="2" t="inlineStr">
        <is>
          <t>CF9265RB</t>
        </is>
      </c>
      <c r="H211" s="2" t="n">
        <v>196313620</v>
      </c>
      <c r="I211" s="2" t="n">
        <v>50</v>
      </c>
      <c r="J211" s="2" t="inlineStr">
        <is>
          <t>EN ATTENTE</t>
        </is>
      </c>
      <c r="K211" s="2">
        <f>_xlfn.IFNA(_xlfn.XLOOKUP(Table1[[#This Row],[N° BC]],'Commandes Dechargees'!B:B,'Commandes Dechargees'!P:P),"EN ATTENTE DE DECHARGEMENT")</f>
        <v/>
      </c>
    </row>
    <row r="212" ht="25.5" customHeight="1">
      <c r="C212" s="24" t="n">
        <v>46279</v>
      </c>
      <c r="D212" s="2" t="inlineStr">
        <is>
          <t>0208-BC-SHEA/NAP-2026</t>
        </is>
      </c>
      <c r="E212" s="2" t="inlineStr">
        <is>
          <t>FRS00035</t>
        </is>
      </c>
      <c r="F212" s="3">
        <f>_xlfn.XLOOKUP(Table1[[#This Row],[Code Frs]],'CODE FRS'!B:B,'CODE FRS'!C:C)</f>
        <v/>
      </c>
      <c r="G212" s="2" t="inlineStr">
        <is>
          <t>BZ 3764RB/BZ 3763RB</t>
        </is>
      </c>
      <c r="H212" s="2" t="n">
        <v>166299247</v>
      </c>
      <c r="I212" s="2" t="n">
        <v>50</v>
      </c>
      <c r="J212" s="2" t="inlineStr">
        <is>
          <t>EN ATTENTE</t>
        </is>
      </c>
      <c r="K212" s="2">
        <f>_xlfn.IFNA(_xlfn.XLOOKUP(Table1[[#This Row],[N° BC]],'Commandes Dechargees'!B:B,'Commandes Dechargees'!P:P),"EN ATTENTE DE DECHARGEMENT")</f>
        <v/>
      </c>
    </row>
    <row r="213" ht="25.5" customHeight="1">
      <c r="C213" s="24" t="n">
        <v>46279</v>
      </c>
      <c r="D213" s="2" t="inlineStr">
        <is>
          <t>0209-BC-SHEA/NAP-2026</t>
        </is>
      </c>
      <c r="E213" s="2" t="inlineStr">
        <is>
          <t>FRS00047</t>
        </is>
      </c>
      <c r="F213" s="3">
        <f>_xlfn.XLOOKUP(Table1[[#This Row],[Code Frs]],'CODE FRS'!B:B,'CODE FRS'!C:C)</f>
        <v/>
      </c>
      <c r="G213" s="2" t="inlineStr">
        <is>
          <t>BS9711RB /BX0221RB</t>
        </is>
      </c>
      <c r="H213" s="2" t="n">
        <v>141210720</v>
      </c>
      <c r="I213" s="2" t="n">
        <v>40</v>
      </c>
      <c r="J213" s="2" t="inlineStr">
        <is>
          <t>EN ATTENTE</t>
        </is>
      </c>
      <c r="K213" s="2">
        <f>_xlfn.IFNA(_xlfn.XLOOKUP(Table1[[#This Row],[N° BC]],'Commandes Dechargees'!B:B,'Commandes Dechargees'!P:P),"EN ATTENTE DE DECHARGEMENT")</f>
        <v/>
      </c>
    </row>
    <row r="214" ht="25.5" customHeight="1">
      <c r="C214" s="24" t="n">
        <v>46279</v>
      </c>
      <c r="D214" s="2" t="inlineStr">
        <is>
          <t>0210-BC-SHEA/NAP-2026</t>
        </is>
      </c>
      <c r="E214" s="2" t="inlineStr">
        <is>
          <t>FRS00048</t>
        </is>
      </c>
      <c r="F214" s="3">
        <f>_xlfn.XLOOKUP(Table1[[#This Row],[Code Frs]],'CODE FRS'!B:B,'CODE FRS'!C:C)</f>
        <v/>
      </c>
      <c r="G214" s="2" t="inlineStr">
        <is>
          <t>CF1588RB/BS9736RB</t>
        </is>
      </c>
      <c r="H214" s="2" t="n">
        <v>169403795</v>
      </c>
      <c r="I214" s="2" t="n">
        <v>50</v>
      </c>
      <c r="J214" s="2" t="inlineStr">
        <is>
          <t>EN ATTENTE</t>
        </is>
      </c>
      <c r="K214" s="2">
        <f>_xlfn.IFNA(_xlfn.XLOOKUP(Table1[[#This Row],[N° BC]],'Commandes Dechargees'!B:B,'Commandes Dechargees'!P:P),"EN ATTENTE DE DECHARGEMENT")</f>
        <v/>
      </c>
    </row>
    <row r="215" ht="25.5" customHeight="1">
      <c r="C215" s="24" t="n">
        <v>46279</v>
      </c>
      <c r="D215" s="2" t="inlineStr">
        <is>
          <t>0211-BC-SHEA/NAP-2026</t>
        </is>
      </c>
      <c r="E215" s="2" t="inlineStr">
        <is>
          <t>FRS00032</t>
        </is>
      </c>
      <c r="F215" s="3">
        <f>_xlfn.XLOOKUP(Table1[[#This Row],[Code Frs]],'CODE FRS'!B:B,'CODE FRS'!C:C)</f>
        <v/>
      </c>
      <c r="G215" s="2" t="inlineStr">
        <is>
          <t>CC0738RB/BX6397RB</t>
        </is>
      </c>
      <c r="H215" s="2" t="n">
        <v>143140250</v>
      </c>
      <c r="I215" s="2" t="n">
        <v>52</v>
      </c>
      <c r="J215" s="2" t="inlineStr">
        <is>
          <t>EN ATTENTE</t>
        </is>
      </c>
      <c r="K215" s="2">
        <f>_xlfn.IFNA(_xlfn.XLOOKUP(Table1[[#This Row],[N° BC]],'Commandes Dechargees'!B:B,'Commandes Dechargees'!P:P),"EN ATTENTE DE DECHARGEMENT")</f>
        <v/>
      </c>
    </row>
    <row r="216" ht="25.5" customHeight="1">
      <c r="C216" s="24" t="n">
        <v>46279</v>
      </c>
      <c r="D216" s="2" t="inlineStr">
        <is>
          <t>0212-BC-SHEA/NAP-2026</t>
        </is>
      </c>
      <c r="E216" s="2" t="inlineStr">
        <is>
          <t>FRS00021</t>
        </is>
      </c>
      <c r="F216" s="3">
        <f>_xlfn.XLOOKUP(Table1[[#This Row],[Code Frs]],'CODE FRS'!B:B,'CODE FRS'!C:C)</f>
        <v/>
      </c>
      <c r="G216" s="2" t="inlineStr">
        <is>
          <t>CA1763RB/2571RB</t>
        </is>
      </c>
      <c r="H216" s="2" t="n">
        <v>166109014</v>
      </c>
      <c r="I216" s="2" t="n">
        <v>40</v>
      </c>
      <c r="J216" s="2" t="inlineStr">
        <is>
          <t>EN ATTENTE</t>
        </is>
      </c>
      <c r="K216" s="2">
        <f>_xlfn.IFNA(_xlfn.XLOOKUP(Table1[[#This Row],[N° BC]],'Commandes Dechargees'!B:B,'Commandes Dechargees'!P:P),"EN ATTENTE DE DECHARGEMENT")</f>
        <v/>
      </c>
    </row>
    <row r="217" ht="25.5" customHeight="1">
      <c r="C217" s="24" t="n">
        <v>46280</v>
      </c>
      <c r="D217" s="2" t="inlineStr">
        <is>
          <t>0213-BC-SHEA/NAP-2026</t>
        </is>
      </c>
      <c r="E217" s="2" t="inlineStr">
        <is>
          <t>FRS00015</t>
        </is>
      </c>
      <c r="F217" s="3">
        <f>_xlfn.XLOOKUP(Table1[[#This Row],[Code Frs]],'CODE FRS'!B:B,'CODE FRS'!C:C)</f>
        <v/>
      </c>
      <c r="G217" s="2" t="inlineStr">
        <is>
          <t>CB1267RB/AX5462RB</t>
        </is>
      </c>
      <c r="H217" s="2" t="n">
        <v>196621820</v>
      </c>
      <c r="I217" s="2" t="n">
        <v>50</v>
      </c>
      <c r="J217" s="2" t="inlineStr">
        <is>
          <t>EN ATTENTE</t>
        </is>
      </c>
      <c r="K217" s="2">
        <f>_xlfn.IFNA(_xlfn.XLOOKUP(Table1[[#This Row],[N° BC]],'Commandes Dechargees'!B:B,'Commandes Dechargees'!P:P),"EN ATTENTE DE DECHARGEMENT")</f>
        <v/>
      </c>
    </row>
    <row r="218" ht="25.5" customHeight="1">
      <c r="C218" s="24" t="n">
        <v>46280</v>
      </c>
      <c r="D218" s="2" t="inlineStr">
        <is>
          <t>0213-BC-SHEA/NAP-2026</t>
        </is>
      </c>
      <c r="E218" s="2" t="inlineStr">
        <is>
          <t>FRS00049</t>
        </is>
      </c>
      <c r="F218" s="3">
        <f>_xlfn.XLOOKUP(Table1[[#This Row],[Code Frs]],'CODE FRS'!B:B,'CODE FRS'!C:C)</f>
        <v/>
      </c>
      <c r="G218" s="2" t="inlineStr">
        <is>
          <t>BU6218RB/BU5950RB</t>
        </is>
      </c>
      <c r="H218" s="2" t="n">
        <v>141337898</v>
      </c>
      <c r="I218" s="2" t="n">
        <v>48</v>
      </c>
      <c r="J218" s="2" t="inlineStr">
        <is>
          <t>EN ATTENTE</t>
        </is>
      </c>
      <c r="K218" s="2">
        <f>_xlfn.IFNA(_xlfn.XLOOKUP(Table1[[#This Row],[N° BC]],'Commandes Dechargees'!B:B,'Commandes Dechargees'!P:P),"EN ATTENTE DE DECHARGEMENT")</f>
        <v/>
      </c>
    </row>
    <row r="219" ht="25.5" customHeight="1">
      <c r="C219" s="24" t="n">
        <v>46280</v>
      </c>
      <c r="D219" s="2" t="inlineStr">
        <is>
          <t>0214-BC-SHEA/NAP-2026</t>
        </is>
      </c>
      <c r="E219" s="2" t="inlineStr">
        <is>
          <t>FRS00016</t>
        </is>
      </c>
      <c r="F219" s="3">
        <f>_xlfn.XLOOKUP(Table1[[#This Row],[Code Frs]],'CODE FRS'!B:B,'CODE FRS'!C:C)</f>
        <v/>
      </c>
      <c r="G219" s="2" t="inlineStr">
        <is>
          <t>CB9758RB /BG3184RB</t>
        </is>
      </c>
      <c r="H219" s="2" t="n">
        <v>196649324</v>
      </c>
      <c r="I219" s="2" t="n">
        <v>50</v>
      </c>
      <c r="J219" s="2" t="inlineStr">
        <is>
          <t>EN ATTENTE</t>
        </is>
      </c>
      <c r="K219" s="2">
        <f>_xlfn.IFNA(_xlfn.XLOOKUP(Table1[[#This Row],[N° BC]],'Commandes Dechargees'!B:B,'Commandes Dechargees'!P:P),"EN ATTENTE DE DECHARGEMENT")</f>
        <v/>
      </c>
    </row>
    <row r="220" ht="25.5" customHeight="1">
      <c r="C220" s="24" t="n">
        <v>46280</v>
      </c>
      <c r="D220" s="2" t="inlineStr">
        <is>
          <t>0215-BC-SHEA/NAP-2026</t>
        </is>
      </c>
      <c r="E220" s="2" t="inlineStr">
        <is>
          <t>FRS00016</t>
        </is>
      </c>
      <c r="F220" s="3">
        <f>_xlfn.XLOOKUP(Table1[[#This Row],[Code Frs]],'CODE FRS'!B:B,'CODE FRS'!C:C)</f>
        <v/>
      </c>
      <c r="G220" s="2" t="inlineStr">
        <is>
          <t>BB7270RB/Y4528RB</t>
        </is>
      </c>
      <c r="H220" s="2" t="n">
        <v>197989239</v>
      </c>
      <c r="I220" s="2" t="n">
        <v>50</v>
      </c>
      <c r="J220" s="2" t="inlineStr">
        <is>
          <t>EN ATTENTE</t>
        </is>
      </c>
      <c r="K220" s="2">
        <f>_xlfn.IFNA(_xlfn.XLOOKUP(Table1[[#This Row],[N° BC]],'Commandes Dechargees'!B:B,'Commandes Dechargees'!P:P),"EN ATTENTE DE DECHARGEMENT")</f>
        <v/>
      </c>
    </row>
    <row r="221" ht="25.5" customHeight="1">
      <c r="C221" s="24" t="n">
        <v>46280</v>
      </c>
      <c r="D221" s="2" t="inlineStr">
        <is>
          <t>0216-BC-SHEA/NAP-2026</t>
        </is>
      </c>
      <c r="E221" s="2" t="inlineStr">
        <is>
          <t>FRS00016</t>
        </is>
      </c>
      <c r="F221" s="3">
        <f>_xlfn.XLOOKUP(Table1[[#This Row],[Code Frs]],'CODE FRS'!B:B,'CODE FRS'!C:C)</f>
        <v/>
      </c>
      <c r="G221" s="2" t="inlineStr">
        <is>
          <t>BM2405RB/BM2537RB</t>
        </is>
      </c>
      <c r="H221" s="2" t="n">
        <v>166463688</v>
      </c>
      <c r="I221" s="2" t="n">
        <v>50</v>
      </c>
      <c r="J221" s="2" t="inlineStr">
        <is>
          <t>EN ATTENTE</t>
        </is>
      </c>
      <c r="K221" s="2">
        <f>_xlfn.IFNA(_xlfn.XLOOKUP(Table1[[#This Row],[N° BC]],'Commandes Dechargees'!B:B,'Commandes Dechargees'!P:P),"EN ATTENTE DE DECHARGEMENT")</f>
        <v/>
      </c>
    </row>
    <row r="222" ht="25.5" customHeight="1">
      <c r="C222" s="24" t="n">
        <v>46280</v>
      </c>
      <c r="D222" s="2" t="inlineStr">
        <is>
          <t>0217-BC-SHEA/NAP-2026</t>
        </is>
      </c>
      <c r="E222" s="2" t="inlineStr">
        <is>
          <t>FRS00015</t>
        </is>
      </c>
      <c r="F222" s="3">
        <f>_xlfn.XLOOKUP(Table1[[#This Row],[Code Frs]],'CODE FRS'!B:B,'CODE FRS'!C:C)</f>
        <v/>
      </c>
      <c r="G222" s="2" t="inlineStr">
        <is>
          <t>CB1267RB/AX5462RB</t>
        </is>
      </c>
      <c r="H222" s="2" t="n">
        <v>196621820</v>
      </c>
      <c r="I222" s="2" t="n">
        <v>50</v>
      </c>
      <c r="J222" s="2" t="inlineStr">
        <is>
          <t>EN ATTENTE</t>
        </is>
      </c>
      <c r="K222" s="2">
        <f>_xlfn.IFNA(_xlfn.XLOOKUP(Table1[[#This Row],[N° BC]],'Commandes Dechargees'!B:B,'Commandes Dechargees'!P:P),"EN ATTENTE DE DECHARGEMENT")</f>
        <v/>
      </c>
    </row>
    <row r="223" ht="25.5" customHeight="1">
      <c r="C223" s="24" t="n">
        <v>46280</v>
      </c>
      <c r="D223" s="2" t="inlineStr">
        <is>
          <t>0218-BC-SHEA/NAP-2026</t>
        </is>
      </c>
      <c r="E223" s="2" t="inlineStr">
        <is>
          <t>FRS00050</t>
        </is>
      </c>
      <c r="F223" s="3">
        <f>_xlfn.XLOOKUP(Table1[[#This Row],[Code Frs]],'CODE FRS'!B:B,'CODE FRS'!C:C)</f>
        <v/>
      </c>
      <c r="G223" s="2" t="inlineStr">
        <is>
          <t>BU5793RB/AY0257RB</t>
        </is>
      </c>
      <c r="H223" s="2" t="n">
        <v>141175913</v>
      </c>
      <c r="I223" s="2" t="n">
        <v>40</v>
      </c>
      <c r="J223" s="2" t="inlineStr">
        <is>
          <t>EN ATTENTE</t>
        </is>
      </c>
      <c r="K223" s="2">
        <f>_xlfn.IFNA(_xlfn.XLOOKUP(Table1[[#This Row],[N° BC]],'Commandes Dechargees'!B:B,'Commandes Dechargees'!P:P),"EN ATTENTE DE DECHARGEMENT")</f>
        <v/>
      </c>
    </row>
    <row r="224" ht="25.5" customHeight="1">
      <c r="C224" s="24" t="n">
        <v>46280</v>
      </c>
      <c r="D224" s="2" t="inlineStr">
        <is>
          <t>0219-BC-SHEA/NAP-2026</t>
        </is>
      </c>
      <c r="E224" s="2" t="inlineStr">
        <is>
          <t>FRS00024</t>
        </is>
      </c>
      <c r="F224" s="3">
        <f>_xlfn.XLOOKUP(Table1[[#This Row],[Code Frs]],'CODE FRS'!B:B,'CODE FRS'!C:C)</f>
        <v/>
      </c>
      <c r="G224" s="2" t="inlineStr">
        <is>
          <t>BP6298RB/BE9619RB</t>
        </is>
      </c>
      <c r="H224" s="2" t="n">
        <v>148314446</v>
      </c>
      <c r="I224" s="2" t="n">
        <v>50</v>
      </c>
      <c r="J224" s="2" t="inlineStr">
        <is>
          <t>EN ATTENTE</t>
        </is>
      </c>
      <c r="K224" s="2">
        <f>_xlfn.IFNA(_xlfn.XLOOKUP(Table1[[#This Row],[N° BC]],'Commandes Dechargees'!B:B,'Commandes Dechargees'!P:P),"EN ATTENTE DE DECHARGEMENT")</f>
        <v/>
      </c>
    </row>
    <row r="225" ht="25.5" customHeight="1">
      <c r="C225" s="24" t="n">
        <v>46280</v>
      </c>
      <c r="D225" s="2" t="inlineStr">
        <is>
          <t>0220-BC-SHEA/NAP-2026</t>
        </is>
      </c>
      <c r="E225" s="2" t="inlineStr">
        <is>
          <t>FRS00003</t>
        </is>
      </c>
      <c r="F225" s="3">
        <f>_xlfn.XLOOKUP(Table1[[#This Row],[Code Frs]],'CODE FRS'!B:B,'CODE FRS'!C:C)</f>
        <v/>
      </c>
      <c r="G225" s="2" t="inlineStr">
        <is>
          <t>AT8153RB/BN3081RB</t>
        </is>
      </c>
      <c r="H225" s="2" t="n">
        <v>169575904</v>
      </c>
      <c r="I225" s="2" t="n">
        <v>50</v>
      </c>
      <c r="J225" s="2" t="inlineStr">
        <is>
          <t>EN ATTENTE</t>
        </is>
      </c>
      <c r="K225" s="2">
        <f>_xlfn.IFNA(_xlfn.XLOOKUP(Table1[[#This Row],[N° BC]],'Commandes Dechargees'!B:B,'Commandes Dechargees'!P:P),"EN ATTENTE DE DECHARGEMENT")</f>
        <v/>
      </c>
    </row>
    <row r="226" ht="25.5" customHeight="1">
      <c r="C226" s="24" t="n">
        <v>46281</v>
      </c>
      <c r="D226" s="2" t="inlineStr">
        <is>
          <t>0221-BC-SHEA/NAP-2026</t>
        </is>
      </c>
      <c r="E226" s="2" t="inlineStr">
        <is>
          <t>FRS00050</t>
        </is>
      </c>
      <c r="F226" s="3">
        <f>_xlfn.XLOOKUP(Table1[[#This Row],[Code Frs]],'CODE FRS'!B:B,'CODE FRS'!C:C)</f>
        <v/>
      </c>
      <c r="G226" s="2" t="inlineStr">
        <is>
          <t>AZ9858RB/BA3187RB</t>
        </is>
      </c>
      <c r="H226" s="2" t="n">
        <v>197377030</v>
      </c>
      <c r="I226" s="2" t="n">
        <v>40</v>
      </c>
      <c r="J226" s="2" t="inlineStr">
        <is>
          <t>EN ATTENTE</t>
        </is>
      </c>
      <c r="K226" s="2">
        <f>_xlfn.IFNA(_xlfn.XLOOKUP(Table1[[#This Row],[N° BC]],'Commandes Dechargees'!B:B,'Commandes Dechargees'!P:P),"EN ATTENTE DE DECHARGEMENT")</f>
        <v/>
      </c>
    </row>
    <row r="227" ht="25.5" customHeight="1">
      <c r="C227" s="24" t="n">
        <v>46281</v>
      </c>
      <c r="D227" s="2" t="inlineStr">
        <is>
          <t>0222-BC-SHEA/NAP-2026</t>
        </is>
      </c>
      <c r="E227" s="2" t="inlineStr">
        <is>
          <t>FRS00039</t>
        </is>
      </c>
      <c r="F227" s="3">
        <f>_xlfn.XLOOKUP(Table1[[#This Row],[Code Frs]],'CODE FRS'!B:B,'CODE FRS'!C:C)</f>
        <v/>
      </c>
      <c r="G227" s="2" t="inlineStr">
        <is>
          <t>BH9734RB/AU2883RB</t>
        </is>
      </c>
      <c r="H227" s="2" t="n">
        <v>140530344</v>
      </c>
      <c r="I227" s="2" t="n">
        <v>50</v>
      </c>
      <c r="J227" s="2" t="inlineStr">
        <is>
          <t>EN ATTENTE</t>
        </is>
      </c>
      <c r="K227" s="2">
        <f>_xlfn.IFNA(_xlfn.XLOOKUP(Table1[[#This Row],[N° BC]],'Commandes Dechargees'!B:B,'Commandes Dechargees'!P:P),"EN ATTENTE DE DECHARGEMENT")</f>
        <v/>
      </c>
    </row>
    <row r="228" ht="25.5" customHeight="1">
      <c r="C228" s="24" t="n">
        <v>46281</v>
      </c>
      <c r="D228" s="2" t="inlineStr">
        <is>
          <t>0223-BC-SHEA/NAP-2026</t>
        </is>
      </c>
      <c r="E228" s="2" t="inlineStr">
        <is>
          <t>FRS00006</t>
        </is>
      </c>
      <c r="F228" s="3">
        <f>_xlfn.XLOOKUP(Table1[[#This Row],[Code Frs]],'CODE FRS'!B:B,'CODE FRS'!C:C)</f>
        <v/>
      </c>
      <c r="G228" s="2" t="inlineStr">
        <is>
          <t>BR2061RB/BR2061RB</t>
        </is>
      </c>
      <c r="H228" s="2" t="n">
        <v>197019848</v>
      </c>
      <c r="I228" s="2" t="n">
        <v>50</v>
      </c>
      <c r="J228" s="2" t="inlineStr">
        <is>
          <t>EN ATTENTE</t>
        </is>
      </c>
      <c r="K228" s="2">
        <f>_xlfn.IFNA(_xlfn.XLOOKUP(Table1[[#This Row],[N° BC]],'Commandes Dechargees'!B:B,'Commandes Dechargees'!P:P),"EN ATTENTE DE DECHARGEMENT")</f>
        <v/>
      </c>
    </row>
    <row r="229" ht="25.5" customHeight="1">
      <c r="C229" s="24" t="n">
        <v>46281</v>
      </c>
      <c r="D229" s="2" t="inlineStr">
        <is>
          <t>0224-BC-SHEA/NAP-2026</t>
        </is>
      </c>
      <c r="E229" s="2" t="inlineStr">
        <is>
          <t>FRS00032</t>
        </is>
      </c>
      <c r="F229" s="3">
        <f>_xlfn.XLOOKUP(Table1[[#This Row],[Code Frs]],'CODE FRS'!B:B,'CODE FRS'!C:C)</f>
        <v/>
      </c>
      <c r="G229" s="2" t="inlineStr">
        <is>
          <t>CC4172RB/CC6078RB</t>
        </is>
      </c>
      <c r="H229" s="2" t="n">
        <v>166867231</v>
      </c>
      <c r="I229" s="2" t="n">
        <v>50</v>
      </c>
      <c r="J229" s="2" t="inlineStr">
        <is>
          <t>EN ATTENTE</t>
        </is>
      </c>
      <c r="K229" s="2">
        <f>_xlfn.IFNA(_xlfn.XLOOKUP(Table1[[#This Row],[N° BC]],'Commandes Dechargees'!B:B,'Commandes Dechargees'!P:P),"EN ATTENTE DE DECHARGEMENT")</f>
        <v/>
      </c>
    </row>
    <row r="230" ht="25.5" customHeight="1">
      <c r="C230" s="24" t="n">
        <v>46281</v>
      </c>
      <c r="D230" s="2" t="inlineStr">
        <is>
          <t>0225-BC-SHEA/NAP-2026</t>
        </is>
      </c>
      <c r="E230" s="2" t="inlineStr">
        <is>
          <t>FRS00035</t>
        </is>
      </c>
      <c r="F230" s="3">
        <f>_xlfn.XLOOKUP(Table1[[#This Row],[Code Frs]],'CODE FRS'!B:B,'CODE FRS'!C:C)</f>
        <v/>
      </c>
      <c r="G230" s="2" t="inlineStr">
        <is>
          <t>BX1081RB/BX1082RB</t>
        </is>
      </c>
      <c r="H230" s="2" t="n">
        <v>196168343</v>
      </c>
      <c r="I230" s="2" t="n">
        <v>35</v>
      </c>
      <c r="J230" s="2" t="inlineStr">
        <is>
          <t>EN ATTENTE</t>
        </is>
      </c>
      <c r="K230" s="2">
        <f>_xlfn.IFNA(_xlfn.XLOOKUP(Table1[[#This Row],[N° BC]],'Commandes Dechargees'!B:B,'Commandes Dechargees'!P:P),"EN ATTENTE DE DECHARGEMENT")</f>
        <v/>
      </c>
    </row>
    <row r="231" ht="25.5" customHeight="1">
      <c r="C231" s="24" t="n">
        <v>46281</v>
      </c>
      <c r="D231" s="2" t="inlineStr">
        <is>
          <t>0226-BC-SHEA/NAP-2026</t>
        </is>
      </c>
      <c r="E231" s="2" t="inlineStr">
        <is>
          <t>FRS00019</t>
        </is>
      </c>
      <c r="F231" s="3">
        <f>_xlfn.XLOOKUP(Table1[[#This Row],[Code Frs]],'CODE FRS'!B:B,'CODE FRS'!C:C)</f>
        <v/>
      </c>
      <c r="G231" s="2" t="inlineStr">
        <is>
          <t>CE6245RB/BT9604RB</t>
        </is>
      </c>
      <c r="H231" s="2" t="n">
        <v>140865057</v>
      </c>
      <c r="I231" s="2" t="n">
        <v>50</v>
      </c>
      <c r="J231" s="2" t="inlineStr">
        <is>
          <t>EN ATTENTE</t>
        </is>
      </c>
      <c r="K231" s="2">
        <f>_xlfn.IFNA(_xlfn.XLOOKUP(Table1[[#This Row],[N° BC]],'Commandes Dechargees'!B:B,'Commandes Dechargees'!P:P),"EN ATTENTE DE DECHARGEMENT")</f>
        <v/>
      </c>
    </row>
    <row r="232" ht="25.5" customHeight="1">
      <c r="C232" s="24" t="n">
        <v>46281</v>
      </c>
      <c r="D232" s="2" t="inlineStr">
        <is>
          <t>0227-BC-SHEA/NAP-2026</t>
        </is>
      </c>
      <c r="E232" s="2" t="inlineStr">
        <is>
          <t>FRS00019</t>
        </is>
      </c>
      <c r="F232" s="3">
        <f>_xlfn.XLOOKUP(Table1[[#This Row],[Code Frs]],'CODE FRS'!B:B,'CODE FRS'!C:C)</f>
        <v/>
      </c>
      <c r="G232" s="2" t="inlineStr">
        <is>
          <t>CF5292RB/BT5099RB</t>
        </is>
      </c>
      <c r="H232" s="2" t="n">
        <v>140865057</v>
      </c>
      <c r="I232" s="2" t="n">
        <v>50</v>
      </c>
      <c r="J232" s="2" t="inlineStr">
        <is>
          <t>EN ATTENTE</t>
        </is>
      </c>
      <c r="K232" s="2">
        <f>_xlfn.IFNA(_xlfn.XLOOKUP(Table1[[#This Row],[N° BC]],'Commandes Dechargees'!B:B,'Commandes Dechargees'!P:P),"EN ATTENTE DE DECHARGEMENT")</f>
        <v/>
      </c>
    </row>
    <row r="233" ht="25.5" customHeight="1">
      <c r="C233" s="24" t="n">
        <v>46281</v>
      </c>
      <c r="D233" s="2" t="inlineStr">
        <is>
          <t>0228-BC-SHEA/NAP-2026</t>
        </is>
      </c>
      <c r="E233" s="2" t="inlineStr">
        <is>
          <t>FRS00009</t>
        </is>
      </c>
      <c r="F233" s="3">
        <f>_xlfn.XLOOKUP(Table1[[#This Row],[Code Frs]],'CODE FRS'!B:B,'CODE FRS'!C:C)</f>
        <v/>
      </c>
      <c r="G233" s="2" t="inlineStr">
        <is>
          <t>BR8361RB /BS0670RB</t>
        </is>
      </c>
      <c r="H233" s="2" t="inlineStr">
        <is>
          <t>-</t>
        </is>
      </c>
      <c r="I233" s="2" t="n">
        <v>50</v>
      </c>
      <c r="J233" s="2" t="inlineStr">
        <is>
          <t>EN ATTENTE</t>
        </is>
      </c>
      <c r="K233" s="2">
        <f>_xlfn.IFNA(_xlfn.XLOOKUP(Table1[[#This Row],[N° BC]],'Commandes Dechargees'!B:B,'Commandes Dechargees'!P:P),"EN ATTENTE DE DECHARGEMENT")</f>
        <v/>
      </c>
    </row>
    <row r="234" ht="25.5" customHeight="1">
      <c r="C234" s="24" t="n">
        <v>46282</v>
      </c>
      <c r="D234" s="2" t="inlineStr">
        <is>
          <t>0229-BC-SHEA/NAP-2026</t>
        </is>
      </c>
      <c r="E234" s="2" t="inlineStr">
        <is>
          <t>FRS00033</t>
        </is>
      </c>
      <c r="F234" s="3">
        <f>_xlfn.XLOOKUP(Table1[[#This Row],[Code Frs]],'CODE FRS'!B:B,'CODE FRS'!C:C)</f>
        <v/>
      </c>
      <c r="G234" s="2" t="inlineStr">
        <is>
          <t>BB1162RB/BB1148RB</t>
        </is>
      </c>
      <c r="H234" s="2" t="n">
        <v>140723790</v>
      </c>
      <c r="I234" s="2" t="n">
        <v>50</v>
      </c>
      <c r="J234" s="2" t="inlineStr">
        <is>
          <t>EN ATTENTE</t>
        </is>
      </c>
      <c r="K234" s="2">
        <f>_xlfn.IFNA(_xlfn.XLOOKUP(Table1[[#This Row],[N° BC]],'Commandes Dechargees'!B:B,'Commandes Dechargees'!P:P),"EN ATTENTE DE DECHARGEMENT")</f>
        <v/>
      </c>
    </row>
    <row r="235" ht="25.5" customHeight="1">
      <c r="C235" s="24" t="n">
        <v>46282</v>
      </c>
      <c r="D235" s="2" t="inlineStr">
        <is>
          <t>0230-BC-SHEA/NAP-2026</t>
        </is>
      </c>
      <c r="E235" s="2" t="inlineStr">
        <is>
          <t>FRS00001</t>
        </is>
      </c>
      <c r="F235" s="3">
        <f>_xlfn.XLOOKUP(Table1[[#This Row],[Code Frs]],'CODE FRS'!B:B,'CODE FRS'!C:C)</f>
        <v/>
      </c>
      <c r="G235" s="2" t="inlineStr">
        <is>
          <t>AX4490RB/AZ9013RB</t>
        </is>
      </c>
      <c r="H235" s="2" t="n">
        <v>167965034</v>
      </c>
      <c r="I235" s="2" t="n">
        <v>50</v>
      </c>
      <c r="J235" s="2" t="inlineStr">
        <is>
          <t>EN ATTENTE</t>
        </is>
      </c>
      <c r="K235" s="2">
        <f>_xlfn.IFNA(_xlfn.XLOOKUP(Table1[[#This Row],[N° BC]],'Commandes Dechargees'!B:B,'Commandes Dechargees'!P:P),"EN ATTENTE DE DECHARGEMENT")</f>
        <v/>
      </c>
    </row>
    <row r="236" ht="25.5" customHeight="1">
      <c r="C236" s="24" t="n">
        <v>46286</v>
      </c>
      <c r="D236" s="2" t="inlineStr">
        <is>
          <t>0231-BC-SHEA/NAP-2026</t>
        </is>
      </c>
      <c r="E236" s="2" t="inlineStr">
        <is>
          <t>FRS00020</t>
        </is>
      </c>
      <c r="F236" s="3">
        <f>_xlfn.XLOOKUP(Table1[[#This Row],[Code Frs]],'CODE FRS'!B:B,'CODE FRS'!C:C)</f>
        <v/>
      </c>
      <c r="G236" s="2" t="inlineStr">
        <is>
          <t>BS3473RB/BS7499RB</t>
        </is>
      </c>
      <c r="H236" s="2" t="n">
        <v>1963661961</v>
      </c>
      <c r="I236" s="2" t="n">
        <v>50</v>
      </c>
      <c r="J236" s="2" t="inlineStr">
        <is>
          <t>EN ATTENTE</t>
        </is>
      </c>
      <c r="K236" s="2">
        <f>_xlfn.IFNA(_xlfn.XLOOKUP(Table1[[#This Row],[N° BC]],'Commandes Dechargees'!B:B,'Commandes Dechargees'!P:P),"EN ATTENTE DE DECHARGEMENT")</f>
        <v/>
      </c>
    </row>
    <row r="237" ht="25.5" customHeight="1">
      <c r="C237" s="24" t="n">
        <v>46286</v>
      </c>
      <c r="D237" s="2" t="inlineStr">
        <is>
          <t>0232-BC-SHEA/NAP-2026</t>
        </is>
      </c>
      <c r="E237" s="2" t="inlineStr">
        <is>
          <t>FRS00052</t>
        </is>
      </c>
      <c r="F237" s="3">
        <f>_xlfn.XLOOKUP(Table1[[#This Row],[Code Frs]],'CODE FRS'!B:B,'CODE FRS'!C:C)</f>
        <v/>
      </c>
      <c r="G237" s="2" t="inlineStr">
        <is>
          <t>CG1468RB/AU5458RB</t>
        </is>
      </c>
      <c r="H237" s="2" t="n">
        <v>197320220</v>
      </c>
      <c r="I237" s="2" t="n">
        <v>50</v>
      </c>
      <c r="J237" s="2" t="inlineStr">
        <is>
          <t>EN ATTENTE</t>
        </is>
      </c>
      <c r="K237" s="2">
        <f>_xlfn.IFNA(_xlfn.XLOOKUP(Table1[[#This Row],[N° BC]],'Commandes Dechargees'!B:B,'Commandes Dechargees'!P:P),"EN ATTENTE DE DECHARGEMENT")</f>
        <v/>
      </c>
    </row>
    <row r="238" ht="25.5" customHeight="1">
      <c r="C238" s="24" t="n">
        <v>46286</v>
      </c>
      <c r="D238" s="2" t="inlineStr">
        <is>
          <t>0233-BC-SHEA/NAP-2026</t>
        </is>
      </c>
      <c r="E238" s="2" t="inlineStr">
        <is>
          <t>FRS00032</t>
        </is>
      </c>
      <c r="F238" s="3">
        <f>_xlfn.XLOOKUP(Table1[[#This Row],[Code Frs]],'CODE FRS'!B:B,'CODE FRS'!C:C)</f>
        <v/>
      </c>
      <c r="G238" s="2" t="inlineStr">
        <is>
          <t>CH4863RB/AM4775RB</t>
        </is>
      </c>
      <c r="H238" s="2" t="n">
        <v>195944906</v>
      </c>
      <c r="I238" s="2" t="n">
        <v>50</v>
      </c>
      <c r="J238" s="2" t="inlineStr">
        <is>
          <t>EN ATTENTE</t>
        </is>
      </c>
      <c r="K238" s="2">
        <f>_xlfn.IFNA(_xlfn.XLOOKUP(Table1[[#This Row],[N° BC]],'Commandes Dechargees'!B:B,'Commandes Dechargees'!P:P),"EN ATTENTE DE DECHARGEMENT")</f>
        <v/>
      </c>
    </row>
    <row r="239" ht="25.5" customHeight="1">
      <c r="C239" s="24" t="n">
        <v>46286</v>
      </c>
      <c r="D239" s="2" t="inlineStr">
        <is>
          <t>0234-BC-SHEA/NAP-2026</t>
        </is>
      </c>
      <c r="E239" s="2" t="inlineStr">
        <is>
          <t>FRS00053</t>
        </is>
      </c>
      <c r="F239" s="3">
        <f>_xlfn.XLOOKUP(Table1[[#This Row],[Code Frs]],'CODE FRS'!B:B,'CODE FRS'!C:C)</f>
        <v/>
      </c>
      <c r="G239" s="2" t="inlineStr">
        <is>
          <t>BT6961RB/AT1852RB</t>
        </is>
      </c>
      <c r="H239" s="2" t="n">
        <v>167131901</v>
      </c>
      <c r="I239" s="2" t="n">
        <v>41</v>
      </c>
      <c r="J239" s="2" t="inlineStr">
        <is>
          <t>EN ATTENTE</t>
        </is>
      </c>
      <c r="K239" s="2">
        <f>_xlfn.IFNA(_xlfn.XLOOKUP(Table1[[#This Row],[N° BC]],'Commandes Dechargees'!B:B,'Commandes Dechargees'!P:P),"EN ATTENTE DE DECHARGEMENT")</f>
        <v/>
      </c>
    </row>
    <row r="240" ht="25.5" customHeight="1">
      <c r="C240" s="24" t="n">
        <v>46286</v>
      </c>
      <c r="D240" s="2" t="inlineStr">
        <is>
          <t>0235-BC-SHEA/NAP-2026</t>
        </is>
      </c>
      <c r="E240" s="2" t="inlineStr">
        <is>
          <t>FRS00015</t>
        </is>
      </c>
      <c r="F240" s="3">
        <f>_xlfn.XLOOKUP(Table1[[#This Row],[Code Frs]],'CODE FRS'!B:B,'CODE FRS'!C:C)</f>
        <v/>
      </c>
      <c r="G240" s="2" t="inlineStr">
        <is>
          <t>CF7287RB</t>
        </is>
      </c>
      <c r="H240" s="2" t="n">
        <v>197419726</v>
      </c>
      <c r="I240" s="2" t="n">
        <v>50</v>
      </c>
      <c r="J240" s="2" t="inlineStr">
        <is>
          <t>EN ATTENTE</t>
        </is>
      </c>
      <c r="K240" s="2">
        <f>_xlfn.IFNA(_xlfn.XLOOKUP(Table1[[#This Row],[N° BC]],'Commandes Dechargees'!B:B,'Commandes Dechargees'!P:P),"EN ATTENTE DE DECHARGEMENT")</f>
        <v/>
      </c>
    </row>
    <row r="241" ht="25.5" customHeight="1">
      <c r="C241" s="24" t="n">
        <v>46286</v>
      </c>
      <c r="D241" s="2" t="inlineStr">
        <is>
          <t>0236-BC-SHEA/NAP-2026</t>
        </is>
      </c>
      <c r="E241" s="2" t="inlineStr">
        <is>
          <t>FRS00020</t>
        </is>
      </c>
      <c r="F241" s="3">
        <f>_xlfn.XLOOKUP(Table1[[#This Row],[Code Frs]],'CODE FRS'!B:B,'CODE FRS'!C:C)</f>
        <v/>
      </c>
      <c r="G241" s="2" t="inlineStr">
        <is>
          <t>CL6144RB/CL6145RB</t>
        </is>
      </c>
      <c r="H241" s="2" t="n">
        <v>160964375</v>
      </c>
      <c r="I241" s="2" t="n">
        <v>50</v>
      </c>
      <c r="J241" s="2" t="inlineStr">
        <is>
          <t>EN ATTENTE</t>
        </is>
      </c>
      <c r="K241" s="2">
        <f>_xlfn.IFNA(_xlfn.XLOOKUP(Table1[[#This Row],[N° BC]],'Commandes Dechargees'!B:B,'Commandes Dechargees'!P:P),"EN ATTENTE DE DECHARGEMENT")</f>
        <v/>
      </c>
    </row>
    <row r="242" ht="25.5" customHeight="1">
      <c r="C242" s="24" t="n">
        <v>46286</v>
      </c>
      <c r="D242" s="2" t="inlineStr">
        <is>
          <t>0237-BC-SHEA/NAP-2026</t>
        </is>
      </c>
      <c r="E242" s="2" t="inlineStr">
        <is>
          <t>FRS00001</t>
        </is>
      </c>
      <c r="F242" s="3">
        <f>_xlfn.XLOOKUP(Table1[[#This Row],[Code Frs]],'CODE FRS'!B:B,'CODE FRS'!C:C)</f>
        <v/>
      </c>
      <c r="G242" s="2" t="inlineStr">
        <is>
          <t>CE5406RB/CB7487RB</t>
        </is>
      </c>
      <c r="H242" s="2" t="n">
        <v>141237386</v>
      </c>
      <c r="I242" s="2" t="n">
        <v>50</v>
      </c>
      <c r="J242" s="2" t="inlineStr">
        <is>
          <t>EN ATTENTE</t>
        </is>
      </c>
      <c r="K242" s="2">
        <f>_xlfn.IFNA(_xlfn.XLOOKUP(Table1[[#This Row],[N° BC]],'Commandes Dechargees'!B:B,'Commandes Dechargees'!P:P),"EN ATTENTE DE DECHARGEMENT")</f>
        <v/>
      </c>
    </row>
    <row r="243" ht="25.5" customHeight="1">
      <c r="C243" s="24" t="n">
        <v>46286</v>
      </c>
      <c r="D243" s="2" t="inlineStr">
        <is>
          <t>0238-BC-SHEA/NAP-2026</t>
        </is>
      </c>
      <c r="E243" s="2" t="inlineStr">
        <is>
          <t>FRS00001</t>
        </is>
      </c>
      <c r="F243" s="3">
        <f>_xlfn.XLOOKUP(Table1[[#This Row],[Code Frs]],'CODE FRS'!B:B,'CODE FRS'!C:C)</f>
        <v/>
      </c>
      <c r="G243" s="2" t="inlineStr">
        <is>
          <t>AH7261RB/BX8341RB</t>
        </is>
      </c>
      <c r="H243" s="2" t="n">
        <v>148316518</v>
      </c>
      <c r="I243" s="2" t="n">
        <v>60</v>
      </c>
      <c r="J243" s="2" t="inlineStr">
        <is>
          <t>EN ATTENTE</t>
        </is>
      </c>
      <c r="K243" s="2">
        <f>_xlfn.IFNA(_xlfn.XLOOKUP(Table1[[#This Row],[N° BC]],'Commandes Dechargees'!B:B,'Commandes Dechargees'!P:P),"EN ATTENTE DE DECHARGEMENT")</f>
        <v/>
      </c>
    </row>
    <row r="244" ht="25.5" customHeight="1">
      <c r="C244" s="24" t="n">
        <v>46286</v>
      </c>
      <c r="D244" s="2" t="inlineStr">
        <is>
          <t>0239-BC-SHEA/NAP-2026</t>
        </is>
      </c>
      <c r="E244" s="2" t="inlineStr">
        <is>
          <t>FRS00001</t>
        </is>
      </c>
      <c r="F244" s="3">
        <f>_xlfn.XLOOKUP(Table1[[#This Row],[Code Frs]],'CODE FRS'!B:B,'CODE FRS'!C:C)</f>
        <v/>
      </c>
      <c r="G244" s="2" t="inlineStr">
        <is>
          <t>BG5496RB/BN2261RB</t>
        </is>
      </c>
      <c r="H244" s="2" t="n">
        <v>194102705</v>
      </c>
      <c r="I244" s="2" t="n">
        <v>40</v>
      </c>
      <c r="J244" s="2" t="inlineStr">
        <is>
          <t>EN ATTENTE</t>
        </is>
      </c>
      <c r="K244" s="2">
        <f>_xlfn.IFNA(_xlfn.XLOOKUP(Table1[[#This Row],[N° BC]],'Commandes Dechargees'!B:B,'Commandes Dechargees'!P:P),"EN ATTENTE DE DECHARGEMENT")</f>
        <v/>
      </c>
    </row>
    <row r="245" ht="25.5" customHeight="1">
      <c r="C245" s="24" t="n">
        <v>46286</v>
      </c>
      <c r="D245" s="2" t="inlineStr">
        <is>
          <t>0240-BC-SHEA/NAP-2026</t>
        </is>
      </c>
      <c r="E245" s="2" t="inlineStr">
        <is>
          <t>FRS00004</t>
        </is>
      </c>
      <c r="F245" s="3">
        <f>_xlfn.XLOOKUP(Table1[[#This Row],[Code Frs]],'CODE FRS'!B:B,'CODE FRS'!C:C)</f>
        <v/>
      </c>
      <c r="G245" s="2" t="inlineStr">
        <is>
          <t>CL7219RB</t>
        </is>
      </c>
      <c r="H245" s="2" t="n">
        <v>153139048</v>
      </c>
      <c r="I245" s="2" t="n">
        <v>50</v>
      </c>
      <c r="J245" s="2" t="inlineStr">
        <is>
          <t>EN ATTENTE</t>
        </is>
      </c>
      <c r="K245" s="2">
        <f>_xlfn.IFNA(_xlfn.XLOOKUP(Table1[[#This Row],[N° BC]],'Commandes Dechargees'!B:B,'Commandes Dechargees'!P:P),"EN ATTENTE DE DECHARGEMENT")</f>
        <v/>
      </c>
    </row>
    <row r="246" ht="25.5" customHeight="1">
      <c r="C246" s="24" t="n">
        <v>46286</v>
      </c>
      <c r="D246" s="2" t="inlineStr">
        <is>
          <t>0240-BC-SHEA/NAP-2026</t>
        </is>
      </c>
      <c r="E246" s="2" t="inlineStr">
        <is>
          <t>FRS00023</t>
        </is>
      </c>
      <c r="F246" s="3">
        <f>_xlfn.XLOOKUP(Table1[[#This Row],[Code Frs]],'CODE FRS'!B:B,'CODE FRS'!C:C)</f>
        <v/>
      </c>
      <c r="G246" s="2" t="inlineStr">
        <is>
          <t>AM9773RB/AM9774RB</t>
        </is>
      </c>
      <c r="H246" s="2" t="n">
        <v>196022511</v>
      </c>
      <c r="I246" s="2" t="n">
        <v>45</v>
      </c>
      <c r="J246" s="2" t="inlineStr">
        <is>
          <t>EN ATTENTE</t>
        </is>
      </c>
      <c r="K246" s="2">
        <f>_xlfn.IFNA(_xlfn.XLOOKUP(Table1[[#This Row],[N° BC]],'Commandes Dechargees'!B:B,'Commandes Dechargees'!P:P),"EN ATTENTE DE DECHARGEMENT")</f>
        <v/>
      </c>
    </row>
    <row r="247" ht="25.5" customHeight="1">
      <c r="C247" s="24" t="n">
        <v>46286</v>
      </c>
      <c r="D247" s="2" t="inlineStr">
        <is>
          <t>0241-BC-SHEA/NAP-2026</t>
        </is>
      </c>
      <c r="E247" s="2" t="inlineStr">
        <is>
          <t>FRS00033</t>
        </is>
      </c>
      <c r="F247" s="3">
        <f>_xlfn.XLOOKUP(Table1[[#This Row],[Code Frs]],'CODE FRS'!B:B,'CODE FRS'!C:C)</f>
        <v/>
      </c>
      <c r="G247" s="2" t="inlineStr">
        <is>
          <t>AS8230RB/AX5255RB</t>
        </is>
      </c>
      <c r="H247" s="2" t="n">
        <v>197827805</v>
      </c>
      <c r="I247" s="2" t="n">
        <v>50</v>
      </c>
      <c r="J247" s="2" t="inlineStr">
        <is>
          <t>EN ATTENTE</t>
        </is>
      </c>
      <c r="K247" s="2">
        <f>_xlfn.IFNA(_xlfn.XLOOKUP(Table1[[#This Row],[N° BC]],'Commandes Dechargees'!B:B,'Commandes Dechargees'!P:P),"EN ATTENTE DE DECHARGEMENT")</f>
        <v/>
      </c>
    </row>
    <row r="248" ht="25.5" customHeight="1">
      <c r="C248" s="24" t="n">
        <v>46286</v>
      </c>
      <c r="D248" s="2" t="inlineStr">
        <is>
          <t>0242-BC-SHEA/NAP-2026</t>
        </is>
      </c>
      <c r="E248" s="2" t="inlineStr">
        <is>
          <t>FRS00032</t>
        </is>
      </c>
      <c r="F248" s="3">
        <f>_xlfn.XLOOKUP(Table1[[#This Row],[Code Frs]],'CODE FRS'!B:B,'CODE FRS'!C:C)</f>
        <v/>
      </c>
      <c r="G248" s="2" t="inlineStr">
        <is>
          <t>BD4361RB/BV3227RB</t>
        </is>
      </c>
      <c r="H248" s="2" t="n">
        <v>140346046</v>
      </c>
      <c r="I248" s="2" t="n">
        <v>40</v>
      </c>
      <c r="J248" s="2" t="inlineStr">
        <is>
          <t>EN ATTENTE</t>
        </is>
      </c>
      <c r="K248" s="2">
        <f>_xlfn.IFNA(_xlfn.XLOOKUP(Table1[[#This Row],[N° BC]],'Commandes Dechargees'!B:B,'Commandes Dechargees'!P:P),"EN ATTENTE DE DECHARGEMENT")</f>
        <v/>
      </c>
    </row>
    <row r="249" ht="25.5" customHeight="1">
      <c r="C249" s="24" t="n">
        <v>46286</v>
      </c>
      <c r="D249" s="2" t="inlineStr">
        <is>
          <t>0243-BC-SHEA/NAP-2026</t>
        </is>
      </c>
      <c r="E249" s="2" t="inlineStr">
        <is>
          <t>FRS00003</t>
        </is>
      </c>
      <c r="F249" s="3">
        <f>_xlfn.XLOOKUP(Table1[[#This Row],[Code Frs]],'CODE FRS'!B:B,'CODE FRS'!C:C)</f>
        <v/>
      </c>
      <c r="G249" s="2" t="inlineStr">
        <is>
          <t>BB1051RB/AR6757RB</t>
        </is>
      </c>
      <c r="H249" s="2" t="n"/>
      <c r="I249" s="2" t="n">
        <v>45</v>
      </c>
      <c r="J249" s="2" t="inlineStr">
        <is>
          <t>EN ATTENTE</t>
        </is>
      </c>
      <c r="K249" s="2">
        <f>_xlfn.IFNA(_xlfn.XLOOKUP(Table1[[#This Row],[N° BC]],'Commandes Dechargees'!B:B,'Commandes Dechargees'!P:P),"EN ATTENTE DE DECHARGEMENT")</f>
        <v/>
      </c>
    </row>
    <row r="250" ht="25.5" customHeight="1">
      <c r="C250" s="24" t="n">
        <v>46286</v>
      </c>
      <c r="D250" s="2" t="inlineStr">
        <is>
          <t>0244-BC-SHEA/NAP-2026</t>
        </is>
      </c>
      <c r="E250" s="2" t="inlineStr">
        <is>
          <t>FRS00011</t>
        </is>
      </c>
      <c r="F250" s="3">
        <f>_xlfn.XLOOKUP(Table1[[#This Row],[Code Frs]],'CODE FRS'!B:B,'CODE FRS'!C:C)</f>
        <v/>
      </c>
      <c r="G250" s="2" t="inlineStr">
        <is>
          <t>BA1086RB/AF1899RB</t>
        </is>
      </c>
      <c r="H250" s="2" t="n">
        <v>143454560</v>
      </c>
      <c r="I250" s="2" t="n">
        <v>20</v>
      </c>
      <c r="J250" s="2" t="inlineStr">
        <is>
          <t>EN ATTENTE</t>
        </is>
      </c>
      <c r="K250" s="2">
        <f>_xlfn.IFNA(_xlfn.XLOOKUP(Table1[[#This Row],[N° BC]],'Commandes Dechargees'!B:B,'Commandes Dechargees'!P:P),"EN ATTENTE DE DECHARGEMENT")</f>
        <v/>
      </c>
    </row>
    <row r="251" ht="25.5" customHeight="1">
      <c r="C251" s="24" t="n">
        <v>46286</v>
      </c>
      <c r="D251" s="2" t="inlineStr">
        <is>
          <t>0245-BC-SHEA/NAP-2026</t>
        </is>
      </c>
      <c r="E251" s="2" t="inlineStr">
        <is>
          <t>FRS00011</t>
        </is>
      </c>
      <c r="F251" s="3">
        <f>_xlfn.XLOOKUP(Table1[[#This Row],[Code Frs]],'CODE FRS'!B:B,'CODE FRS'!C:C)</f>
        <v/>
      </c>
      <c r="G251" s="2" t="inlineStr">
        <is>
          <t>AV5903RB/AC2684RB</t>
        </is>
      </c>
      <c r="H251" s="2" t="n">
        <v>143454560</v>
      </c>
      <c r="I251" s="2" t="n">
        <v>45</v>
      </c>
      <c r="J251" s="2" t="inlineStr">
        <is>
          <t>EN ATTENTE</t>
        </is>
      </c>
      <c r="K251" s="2">
        <f>_xlfn.IFNA(_xlfn.XLOOKUP(Table1[[#This Row],[N° BC]],'Commandes Dechargees'!B:B,'Commandes Dechargees'!P:P),"EN ATTENTE DE DECHARGEMENT")</f>
        <v/>
      </c>
    </row>
    <row r="252" ht="25.5" customHeight="1">
      <c r="C252" s="24" t="n">
        <v>46286</v>
      </c>
      <c r="D252" s="2" t="inlineStr">
        <is>
          <t>0246-BC-SHEA/NAP-2026</t>
        </is>
      </c>
      <c r="E252" s="2" t="inlineStr">
        <is>
          <t>FRS00054</t>
        </is>
      </c>
      <c r="F252" s="3">
        <f>_xlfn.XLOOKUP(Table1[[#This Row],[Code Frs]],'CODE FRS'!B:B,'CODE FRS'!C:C)</f>
        <v/>
      </c>
      <c r="G252" s="2" t="inlineStr">
        <is>
          <t>BN0185RB/AY0236RB</t>
        </is>
      </c>
      <c r="H252" s="2" t="n">
        <v>195017020</v>
      </c>
      <c r="I252" s="2" t="n">
        <v>50</v>
      </c>
      <c r="J252" s="2" t="inlineStr">
        <is>
          <t>EN ATTENTE</t>
        </is>
      </c>
      <c r="K252" s="2">
        <f>_xlfn.IFNA(_xlfn.XLOOKUP(Table1[[#This Row],[N° BC]],'Commandes Dechargees'!B:B,'Commandes Dechargees'!P:P),"EN ATTENTE DE DECHARGEMENT")</f>
        <v/>
      </c>
    </row>
    <row r="253" ht="25.5" customHeight="1">
      <c r="C253" s="24" t="n">
        <v>46286</v>
      </c>
      <c r="D253" s="2" t="inlineStr">
        <is>
          <t>0247-BC-SHEA/NAP-2026</t>
        </is>
      </c>
      <c r="E253" s="2" t="inlineStr">
        <is>
          <t>FRS00054</t>
        </is>
      </c>
      <c r="F253" s="3">
        <f>_xlfn.XLOOKUP(Table1[[#This Row],[Code Frs]],'CODE FRS'!B:B,'CODE FRS'!C:C)</f>
        <v/>
      </c>
      <c r="G253" s="2" t="inlineStr">
        <is>
          <t>BY4655RB/CG5413RB</t>
        </is>
      </c>
      <c r="H253" s="2" t="n">
        <v>194120728</v>
      </c>
      <c r="I253" s="2" t="n">
        <v>50</v>
      </c>
      <c r="J253" s="2" t="inlineStr">
        <is>
          <t>EN ATTENTE</t>
        </is>
      </c>
      <c r="K253" s="2">
        <f>_xlfn.IFNA(_xlfn.XLOOKUP(Table1[[#This Row],[N° BC]],'Commandes Dechargees'!B:B,'Commandes Dechargees'!P:P),"EN ATTENTE DE DECHARGEMENT")</f>
        <v/>
      </c>
    </row>
    <row r="254" ht="25.5" customHeight="1">
      <c r="C254" s="24" t="n">
        <v>46286</v>
      </c>
      <c r="D254" s="2" t="inlineStr">
        <is>
          <t>0248-BC-SHEA/NAP-2026</t>
        </is>
      </c>
      <c r="E254" s="2" t="inlineStr">
        <is>
          <t>FRS00039</t>
        </is>
      </c>
      <c r="F254" s="3">
        <f>_xlfn.XLOOKUP(Table1[[#This Row],[Code Frs]],'CODE FRS'!B:B,'CODE FRS'!C:C)</f>
        <v/>
      </c>
      <c r="G254" s="2" t="inlineStr">
        <is>
          <t>CJ5557RB/CJ1535RB</t>
        </is>
      </c>
      <c r="H254" s="2" t="n">
        <v>140770721</v>
      </c>
      <c r="I254" s="2" t="n">
        <v>50</v>
      </c>
      <c r="J254" s="2" t="inlineStr">
        <is>
          <t>EN ATTENTE</t>
        </is>
      </c>
      <c r="K254" s="2">
        <f>_xlfn.IFNA(_xlfn.XLOOKUP(Table1[[#This Row],[N° BC]],'Commandes Dechargees'!B:B,'Commandes Dechargees'!P:P),"EN ATTENTE DE DECHARGEMENT")</f>
        <v/>
      </c>
    </row>
    <row r="255" ht="25.5" customHeight="1">
      <c r="C255" s="24" t="n">
        <v>46286</v>
      </c>
      <c r="D255" s="2" t="inlineStr">
        <is>
          <t>0249-BC-SHEA/NAP-2026</t>
        </is>
      </c>
      <c r="E255" s="2" t="inlineStr">
        <is>
          <t>FRS00004</t>
        </is>
      </c>
      <c r="F255" s="3">
        <f>_xlfn.XLOOKUP(Table1[[#This Row],[Code Frs]],'CODE FRS'!B:B,'CODE FRS'!C:C)</f>
        <v/>
      </c>
      <c r="G255" s="2" t="inlineStr">
        <is>
          <t>CH7143RB</t>
        </is>
      </c>
      <c r="H255" s="2" t="n">
        <v>197275693</v>
      </c>
      <c r="I255" s="2" t="n">
        <v>50</v>
      </c>
      <c r="J255" s="2" t="inlineStr">
        <is>
          <t>EN ATTENTE</t>
        </is>
      </c>
      <c r="K255" s="2">
        <f>_xlfn.IFNA(_xlfn.XLOOKUP(Table1[[#This Row],[N° BC]],'Commandes Dechargees'!B:B,'Commandes Dechargees'!P:P),"EN ATTENTE DE DECHARGEMENT")</f>
        <v/>
      </c>
    </row>
    <row r="256" ht="25.5" customHeight="1">
      <c r="C256" s="24" t="n">
        <v>46286</v>
      </c>
      <c r="D256" s="2" t="inlineStr">
        <is>
          <t>0249-BC-SHEA/NAP-2026</t>
        </is>
      </c>
      <c r="E256" s="2" t="inlineStr">
        <is>
          <t>FRS00001</t>
        </is>
      </c>
      <c r="F256" s="3">
        <f>_xlfn.XLOOKUP(Table1[[#This Row],[Code Frs]],'CODE FRS'!B:B,'CODE FRS'!C:C)</f>
        <v/>
      </c>
      <c r="G256" s="2" t="inlineStr">
        <is>
          <t>BS8406RB/BH2994RB</t>
        </is>
      </c>
      <c r="H256" s="2" t="n">
        <v>157602172</v>
      </c>
      <c r="I256" s="2" t="n">
        <v>60</v>
      </c>
      <c r="J256" s="2" t="inlineStr">
        <is>
          <t>EN ATTENTE</t>
        </is>
      </c>
      <c r="K256" s="2">
        <f>_xlfn.IFNA(_xlfn.XLOOKUP(Table1[[#This Row],[N° BC]],'Commandes Dechargees'!B:B,'Commandes Dechargees'!P:P),"EN ATTENTE DE DECHARGEMENT")</f>
        <v/>
      </c>
    </row>
    <row r="257" ht="25.5" customHeight="1">
      <c r="C257" s="24" t="n">
        <v>46286</v>
      </c>
      <c r="D257" s="2" t="inlineStr">
        <is>
          <t>0250-BC-SHEA/NAP-2026</t>
        </is>
      </c>
      <c r="E257" s="2" t="inlineStr">
        <is>
          <t>FRS00026</t>
        </is>
      </c>
      <c r="F257" s="3">
        <f>_xlfn.XLOOKUP(Table1[[#This Row],[Code Frs]],'CODE FRS'!B:B,'CODE FRS'!C:C)</f>
        <v/>
      </c>
      <c r="G257" s="2" t="inlineStr">
        <is>
          <t>BX8310RB/BX9639RB</t>
        </is>
      </c>
      <c r="H257" s="2" t="n">
        <v>196799650</v>
      </c>
      <c r="I257" s="2" t="n">
        <v>50</v>
      </c>
      <c r="J257" s="2" t="inlineStr">
        <is>
          <t>EN ATTENTE</t>
        </is>
      </c>
      <c r="K257" s="2">
        <f>_xlfn.IFNA(_xlfn.XLOOKUP(Table1[[#This Row],[N° BC]],'Commandes Dechargees'!B:B,'Commandes Dechargees'!P:P),"EN ATTENTE DE DECHARGEMENT")</f>
        <v/>
      </c>
    </row>
    <row r="258" ht="25.5" customHeight="1">
      <c r="C258" s="24" t="n">
        <v>46286</v>
      </c>
      <c r="D258" s="2" t="inlineStr">
        <is>
          <t>0251-BC-SHEA/NAP-2026</t>
        </is>
      </c>
      <c r="E258" s="2" t="inlineStr">
        <is>
          <t>FRS00026</t>
        </is>
      </c>
      <c r="F258" s="3">
        <f>_xlfn.XLOOKUP(Table1[[#This Row],[Code Frs]],'CODE FRS'!B:B,'CODE FRS'!C:C)</f>
        <v/>
      </c>
      <c r="G258" s="2" t="inlineStr">
        <is>
          <t>BD6670RB/BC8452RB</t>
        </is>
      </c>
      <c r="H258" s="2" t="n">
        <v>196886616</v>
      </c>
      <c r="I258" s="2" t="n">
        <v>50</v>
      </c>
      <c r="J258" s="2" t="inlineStr">
        <is>
          <t>EN ATTENTE</t>
        </is>
      </c>
      <c r="K258" s="2">
        <f>_xlfn.IFNA(_xlfn.XLOOKUP(Table1[[#This Row],[N° BC]],'Commandes Dechargees'!B:B,'Commandes Dechargees'!P:P),"EN ATTENTE DE DECHARGEMENT")</f>
        <v/>
      </c>
    </row>
    <row r="259" ht="25.5" customHeight="1">
      <c r="C259" s="24" t="n">
        <v>46286</v>
      </c>
      <c r="D259" s="2" t="inlineStr">
        <is>
          <t>0252-BC-SHEA/NAP-2026</t>
        </is>
      </c>
      <c r="E259" s="2" t="inlineStr">
        <is>
          <t>FRS00026</t>
        </is>
      </c>
      <c r="F259" s="3">
        <f>_xlfn.XLOOKUP(Table1[[#This Row],[Code Frs]],'CODE FRS'!B:B,'CODE FRS'!C:C)</f>
        <v/>
      </c>
      <c r="G259" s="2" t="inlineStr">
        <is>
          <t>BF5270RB/BF5272RB</t>
        </is>
      </c>
      <c r="H259" s="2" t="n">
        <v>144293870</v>
      </c>
      <c r="I259" s="2" t="n">
        <v>50</v>
      </c>
      <c r="J259" s="2" t="inlineStr">
        <is>
          <t>EN ATTENTE</t>
        </is>
      </c>
      <c r="K259" s="2">
        <f>_xlfn.IFNA(_xlfn.XLOOKUP(Table1[[#This Row],[N° BC]],'Commandes Dechargees'!B:B,'Commandes Dechargees'!P:P),"EN ATTENTE DE DECHARGEMENT")</f>
        <v/>
      </c>
    </row>
    <row r="260" ht="25.5" customHeight="1">
      <c r="C260" s="24" t="n">
        <v>46286</v>
      </c>
      <c r="D260" s="2" t="inlineStr">
        <is>
          <t>0253-BC-SHEA/NAP-2026</t>
        </is>
      </c>
      <c r="E260" s="2" t="inlineStr">
        <is>
          <t>FRS00004</t>
        </is>
      </c>
      <c r="F260" s="3">
        <f>_xlfn.XLOOKUP(Table1[[#This Row],[Code Frs]],'CODE FRS'!B:B,'CODE FRS'!C:C)</f>
        <v/>
      </c>
      <c r="G260" s="2" t="inlineStr">
        <is>
          <t>CG4034RB</t>
        </is>
      </c>
      <c r="H260" s="2" t="n">
        <v>197262135</v>
      </c>
      <c r="I260" s="2" t="n">
        <v>50</v>
      </c>
      <c r="J260" s="2" t="inlineStr">
        <is>
          <t>EN ATTENTE</t>
        </is>
      </c>
      <c r="K260" s="2">
        <f>_xlfn.IFNA(_xlfn.XLOOKUP(Table1[[#This Row],[N° BC]],'Commandes Dechargees'!B:B,'Commandes Dechargees'!P:P),"EN ATTENTE DE DECHARGEMENT")</f>
        <v/>
      </c>
    </row>
    <row r="261" ht="25.5" customHeight="1">
      <c r="C261" s="24" t="n">
        <v>46286</v>
      </c>
      <c r="D261" s="2" t="inlineStr">
        <is>
          <t>0254-BC-SHEA/NAP-2026</t>
        </is>
      </c>
      <c r="E261" s="2" t="inlineStr">
        <is>
          <t>FRS00001</t>
        </is>
      </c>
      <c r="F261" s="3">
        <f>_xlfn.XLOOKUP(Table1[[#This Row],[Code Frs]],'CODE FRS'!B:B,'CODE FRS'!C:C)</f>
        <v/>
      </c>
      <c r="G261" s="2" t="inlineStr">
        <is>
          <t>BS8406RB/BH2994RB</t>
        </is>
      </c>
      <c r="H261" s="2" t="n">
        <v>157602172</v>
      </c>
      <c r="I261" s="2" t="n">
        <v>60</v>
      </c>
      <c r="J261" s="2" t="inlineStr">
        <is>
          <t>EN ATTENTE</t>
        </is>
      </c>
      <c r="K261" s="2">
        <f>_xlfn.IFNA(_xlfn.XLOOKUP(Table1[[#This Row],[N° BC]],'Commandes Dechargees'!B:B,'Commandes Dechargees'!P:P),"EN ATTENTE DE DECHARGEMENT")</f>
        <v/>
      </c>
    </row>
    <row r="262" ht="25.5" customHeight="1">
      <c r="C262" s="24" t="n">
        <v>46286</v>
      </c>
      <c r="D262" s="2" t="inlineStr">
        <is>
          <t>0255-BC-SHEA/NAP-2026</t>
        </is>
      </c>
      <c r="E262" s="2" t="inlineStr">
        <is>
          <t>FRS00020</t>
        </is>
      </c>
      <c r="F262" s="3">
        <f>_xlfn.XLOOKUP(Table1[[#This Row],[Code Frs]],'CODE FRS'!B:B,'CODE FRS'!C:C)</f>
        <v/>
      </c>
      <c r="G262" s="2" t="inlineStr">
        <is>
          <t>BR2580RB/CC3813RB</t>
        </is>
      </c>
      <c r="H262" s="2" t="n">
        <v>149054628</v>
      </c>
      <c r="I262" s="2" t="n">
        <v>50</v>
      </c>
      <c r="J262" s="2" t="inlineStr">
        <is>
          <t>EN ATTENTE</t>
        </is>
      </c>
      <c r="K262" s="2">
        <f>_xlfn.IFNA(_xlfn.XLOOKUP(Table1[[#This Row],[N° BC]],'Commandes Dechargees'!B:B,'Commandes Dechargees'!P:P),"EN ATTENTE DE DECHARGEMENT")</f>
        <v/>
      </c>
    </row>
    <row r="263" ht="25.5" customHeight="1">
      <c r="C263" s="24" t="n">
        <v>46286</v>
      </c>
      <c r="D263" s="2" t="inlineStr">
        <is>
          <t>0256-BC-SHEA/NAP-2026</t>
        </is>
      </c>
      <c r="E263" s="2" t="inlineStr">
        <is>
          <t>FRS00039</t>
        </is>
      </c>
      <c r="F263" s="3">
        <f>_xlfn.XLOOKUP(Table1[[#This Row],[Code Frs]],'CODE FRS'!B:B,'CODE FRS'!C:C)</f>
        <v/>
      </c>
      <c r="G263" s="2" t="inlineStr">
        <is>
          <t>CB7962RB/CC1997RB</t>
        </is>
      </c>
      <c r="H263" s="2" t="n">
        <v>194811647</v>
      </c>
      <c r="I263" s="2" t="n">
        <v>50</v>
      </c>
      <c r="J263" s="2" t="inlineStr">
        <is>
          <t>EN ATTENTE</t>
        </is>
      </c>
      <c r="K263" s="2">
        <f>_xlfn.IFNA(_xlfn.XLOOKUP(Table1[[#This Row],[N° BC]],'Commandes Dechargees'!B:B,'Commandes Dechargees'!P:P),"EN ATTENTE DE DECHARGEMENT")</f>
        <v/>
      </c>
    </row>
    <row r="264" ht="25.5" customHeight="1">
      <c r="C264" s="24" t="n">
        <v>46286</v>
      </c>
      <c r="D264" s="2" t="inlineStr">
        <is>
          <t>0257-BC-SHEA/NAP-2026</t>
        </is>
      </c>
      <c r="E264" s="2" t="inlineStr">
        <is>
          <t>FRS00055</t>
        </is>
      </c>
      <c r="F264" s="3">
        <f>_xlfn.XLOOKUP(Table1[[#This Row],[Code Frs]],'CODE FRS'!B:B,'CODE FRS'!C:C)</f>
        <v/>
      </c>
      <c r="G264" s="2" t="inlineStr">
        <is>
          <t>AS8230RB/AX5255RB</t>
        </is>
      </c>
      <c r="H264" s="2" t="n">
        <v>197827805</v>
      </c>
      <c r="I264" s="2" t="n">
        <v>45</v>
      </c>
      <c r="J264" s="2" t="inlineStr">
        <is>
          <t>EN ATTENTE</t>
        </is>
      </c>
      <c r="K264" s="2">
        <f>_xlfn.IFNA(_xlfn.XLOOKUP(Table1[[#This Row],[N° BC]],'Commandes Dechargees'!B:B,'Commandes Dechargees'!P:P),"EN ATTENTE DE DECHARGEMENT")</f>
        <v/>
      </c>
    </row>
    <row r="265" ht="25.5" customHeight="1">
      <c r="C265" s="24" t="n">
        <v>46286</v>
      </c>
      <c r="D265" s="2" t="inlineStr">
        <is>
          <t>0258-BC-SHEA/NAP-2026</t>
        </is>
      </c>
      <c r="E265" s="2" t="inlineStr">
        <is>
          <t>FRS00020</t>
        </is>
      </c>
      <c r="F265" s="3">
        <f>_xlfn.XLOOKUP(Table1[[#This Row],[Code Frs]],'CODE FRS'!B:B,'CODE FRS'!C:C)</f>
        <v/>
      </c>
      <c r="G265" s="2" t="inlineStr">
        <is>
          <t>BD2087RB/BD2088RB</t>
        </is>
      </c>
      <c r="H265" s="2" t="n">
        <v>1444421</v>
      </c>
      <c r="I265" s="2" t="n">
        <v>43</v>
      </c>
      <c r="J265" s="2" t="inlineStr">
        <is>
          <t>EN ATTENTE</t>
        </is>
      </c>
      <c r="K265" s="2">
        <f>_xlfn.IFNA(_xlfn.XLOOKUP(Table1[[#This Row],[N° BC]],'Commandes Dechargees'!B:B,'Commandes Dechargees'!P:P),"EN ATTENTE DE DECHARGEMENT")</f>
        <v/>
      </c>
    </row>
    <row r="266" ht="25.5" customHeight="1">
      <c r="C266" s="24" t="n">
        <v>46286</v>
      </c>
      <c r="D266" s="2" t="inlineStr">
        <is>
          <t>0259-BC-SHEA/NAP-2026</t>
        </is>
      </c>
      <c r="E266" s="2" t="inlineStr">
        <is>
          <t>FRS00039</t>
        </is>
      </c>
      <c r="F266" s="3">
        <f>_xlfn.XLOOKUP(Table1[[#This Row],[Code Frs]],'CODE FRS'!B:B,'CODE FRS'!C:C)</f>
        <v/>
      </c>
      <c r="G266" s="2" t="inlineStr">
        <is>
          <t>AY2106RB/AY2107RB</t>
        </is>
      </c>
      <c r="H266" s="2" t="n">
        <v>140530344</v>
      </c>
      <c r="I266" s="2" t="n">
        <v>50</v>
      </c>
      <c r="J266" s="2" t="inlineStr">
        <is>
          <t>EN ATTENTE</t>
        </is>
      </c>
      <c r="K266" s="2">
        <f>_xlfn.IFNA(_xlfn.XLOOKUP(Table1[[#This Row],[N° BC]],'Commandes Dechargees'!B:B,'Commandes Dechargees'!P:P),"EN ATTENTE DE DECHARGEMENT")</f>
        <v/>
      </c>
    </row>
    <row r="267" ht="25.5" customHeight="1">
      <c r="C267" s="24" t="n">
        <v>46286</v>
      </c>
      <c r="D267" s="2" t="inlineStr">
        <is>
          <t>0260-BC-SHEA/NAP-2026</t>
        </is>
      </c>
      <c r="E267" s="2" t="inlineStr">
        <is>
          <t>FRS00001</t>
        </is>
      </c>
      <c r="F267" s="3">
        <f>_xlfn.XLOOKUP(Table1[[#This Row],[Code Frs]],'CODE FRS'!B:B,'CODE FRS'!C:C)</f>
        <v/>
      </c>
      <c r="G267" s="2" t="inlineStr">
        <is>
          <t>BZ8477RB/AD2055RB</t>
        </is>
      </c>
      <c r="H267" s="2" t="n">
        <v>141373714</v>
      </c>
      <c r="I267" s="2" t="n">
        <v>48</v>
      </c>
      <c r="J267" s="2" t="inlineStr">
        <is>
          <t>EN ATTENTE</t>
        </is>
      </c>
      <c r="K267" s="2">
        <f>_xlfn.IFNA(_xlfn.XLOOKUP(Table1[[#This Row],[N° BC]],'Commandes Dechargees'!B:B,'Commandes Dechargees'!P:P),"EN ATTENTE DE DECHARGEMENT")</f>
        <v/>
      </c>
    </row>
    <row r="268" ht="25.5" customHeight="1">
      <c r="C268" s="24" t="n">
        <v>46286</v>
      </c>
      <c r="D268" s="2" t="inlineStr">
        <is>
          <t>0262-BC-SHEA/NAP-2026</t>
        </is>
      </c>
      <c r="E268" s="2" t="inlineStr">
        <is>
          <t>FRS00056</t>
        </is>
      </c>
      <c r="F268" s="3">
        <f>_xlfn.XLOOKUP(Table1[[#This Row],[Code Frs]],'CODE FRS'!B:B,'CODE FRS'!C:C)</f>
        <v/>
      </c>
      <c r="G268" s="2" t="inlineStr">
        <is>
          <t>CG3252RB/CG3365RB</t>
        </is>
      </c>
      <c r="H268" s="2" t="n">
        <v>194239394</v>
      </c>
      <c r="I268" s="2" t="n">
        <v>50</v>
      </c>
      <c r="J268" s="2" t="inlineStr">
        <is>
          <t>EN ATTENTE</t>
        </is>
      </c>
      <c r="K268" s="2">
        <f>_xlfn.IFNA(_xlfn.XLOOKUP(Table1[[#This Row],[N° BC]],'Commandes Dechargees'!B:B,'Commandes Dechargees'!P:P),"EN ATTENTE DE DECHARGEMENT")</f>
        <v/>
      </c>
    </row>
    <row r="269" ht="25.5" customHeight="1">
      <c r="C269" s="24" t="n">
        <v>46286</v>
      </c>
      <c r="D269" s="2" t="inlineStr">
        <is>
          <t>0263-BC-SHEA/NAP-2026</t>
        </is>
      </c>
      <c r="E269" s="2" t="inlineStr">
        <is>
          <t>FRS00057</t>
        </is>
      </c>
      <c r="F269" s="3">
        <f>_xlfn.XLOOKUP(Table1[[#This Row],[Code Frs]],'CODE FRS'!B:B,'CODE FRS'!C:C)</f>
        <v/>
      </c>
      <c r="G269" s="2" t="inlineStr">
        <is>
          <t>BV1174RB/BV1137RB</t>
        </is>
      </c>
      <c r="H269" s="2" t="n">
        <v>196022511</v>
      </c>
      <c r="I269" s="2" t="n">
        <v>50</v>
      </c>
      <c r="J269" s="2" t="inlineStr">
        <is>
          <t>EN ATTENTE</t>
        </is>
      </c>
      <c r="K269" s="2">
        <f>_xlfn.IFNA(_xlfn.XLOOKUP(Table1[[#This Row],[N° BC]],'Commandes Dechargees'!B:B,'Commandes Dechargees'!P:P),"EN ATTENTE DE DECHARGEMENT")</f>
        <v/>
      </c>
    </row>
    <row r="270" ht="25.5" customHeight="1">
      <c r="C270" s="24" t="n">
        <v>46286</v>
      </c>
      <c r="D270" s="2" t="inlineStr">
        <is>
          <t>0264-BC-SHEA/NAP-2026</t>
        </is>
      </c>
      <c r="E270" s="2" t="inlineStr">
        <is>
          <t>FRS00004</t>
        </is>
      </c>
      <c r="F270" s="3">
        <f>_xlfn.XLOOKUP(Table1[[#This Row],[Code Frs]],'CODE FRS'!B:B,'CODE FRS'!C:C)</f>
        <v/>
      </c>
      <c r="G270" s="2" t="inlineStr">
        <is>
          <t>CH8791RB</t>
        </is>
      </c>
      <c r="H270" s="2" t="n">
        <v>196804429</v>
      </c>
      <c r="I270" s="2" t="n">
        <v>50</v>
      </c>
      <c r="J270" s="2" t="inlineStr">
        <is>
          <t>EN ATTENTE</t>
        </is>
      </c>
      <c r="K270" s="2">
        <f>_xlfn.IFNA(_xlfn.XLOOKUP(Table1[[#This Row],[N° BC]],'Commandes Dechargees'!B:B,'Commandes Dechargees'!P:P),"EN ATTENTE DE DECHARGEMENT")</f>
        <v/>
      </c>
    </row>
    <row r="271" ht="25.5" customHeight="1">
      <c r="C271" s="24" t="n">
        <v>46286</v>
      </c>
      <c r="D271" s="2" t="inlineStr">
        <is>
          <t>0265-BC-SHEA/NAP-2026</t>
        </is>
      </c>
      <c r="E271" s="2" t="inlineStr">
        <is>
          <t>FRS00015</t>
        </is>
      </c>
      <c r="F271" s="3">
        <f>_xlfn.XLOOKUP(Table1[[#This Row],[Code Frs]],'CODE FRS'!B:B,'CODE FRS'!C:C)</f>
        <v/>
      </c>
      <c r="G271" s="2" t="inlineStr">
        <is>
          <t>BD2652RB/Z3332RB</t>
        </is>
      </c>
      <c r="H271" s="2" t="n">
        <v>162591245</v>
      </c>
      <c r="I271" s="2" t="n">
        <v>50</v>
      </c>
      <c r="J271" s="2" t="inlineStr">
        <is>
          <t>EN ATTENTE</t>
        </is>
      </c>
      <c r="K271" s="2">
        <f>_xlfn.IFNA(_xlfn.XLOOKUP(Table1[[#This Row],[N° BC]],'Commandes Dechargees'!B:B,'Commandes Dechargees'!P:P),"EN ATTENTE DE DECHARGEMENT")</f>
        <v/>
      </c>
    </row>
    <row r="272" ht="25.5" customHeight="1">
      <c r="C272" s="24" t="n">
        <v>46286</v>
      </c>
      <c r="D272" s="2" t="inlineStr">
        <is>
          <t>0266-BC-SHEA/NAP-2026</t>
        </is>
      </c>
      <c r="E272" s="2" t="inlineStr">
        <is>
          <t>FRS00026</t>
        </is>
      </c>
      <c r="F272" s="3">
        <f>_xlfn.XLOOKUP(Table1[[#This Row],[Code Frs]],'CODE FRS'!B:B,'CODE FRS'!C:C)</f>
        <v/>
      </c>
      <c r="G272" s="2" t="inlineStr">
        <is>
          <t>BH3279RB/AN6675RB</t>
        </is>
      </c>
      <c r="H272" s="2" t="n">
        <v>196708677</v>
      </c>
      <c r="I272" s="2" t="n">
        <v>50</v>
      </c>
      <c r="J272" s="2" t="inlineStr">
        <is>
          <t>EN ATTENTE</t>
        </is>
      </c>
      <c r="K272" s="2">
        <f>_xlfn.IFNA(_xlfn.XLOOKUP(Table1[[#This Row],[N° BC]],'Commandes Dechargees'!B:B,'Commandes Dechargees'!P:P),"EN ATTENTE DE DECHARGEMENT")</f>
        <v/>
      </c>
    </row>
    <row r="273" ht="25.5" customHeight="1">
      <c r="C273" s="24" t="n">
        <v>46286</v>
      </c>
      <c r="D273" s="2" t="inlineStr">
        <is>
          <t>0267-BC-SHEA/NAP-2026</t>
        </is>
      </c>
      <c r="E273" s="2" t="inlineStr">
        <is>
          <t>FRS00024</t>
        </is>
      </c>
      <c r="F273" s="3">
        <f>_xlfn.XLOOKUP(Table1[[#This Row],[Code Frs]],'CODE FRS'!B:B,'CODE FRS'!C:C)</f>
        <v/>
      </c>
      <c r="G273" s="2" t="inlineStr">
        <is>
          <t>BV3604RB/AF4311RB</t>
        </is>
      </c>
      <c r="H273" s="2" t="n">
        <v>197087388</v>
      </c>
      <c r="I273" s="2" t="n">
        <v>45</v>
      </c>
      <c r="J273" s="2" t="inlineStr">
        <is>
          <t>EN ATTENTE</t>
        </is>
      </c>
      <c r="K273" s="2">
        <f>_xlfn.IFNA(_xlfn.XLOOKUP(Table1[[#This Row],[N° BC]],'Commandes Dechargees'!B:B,'Commandes Dechargees'!P:P),"EN ATTENTE DE DECHARGEMENT")</f>
        <v/>
      </c>
    </row>
    <row r="274" ht="25.5" customHeight="1">
      <c r="C274" s="24" t="n">
        <v>46286</v>
      </c>
      <c r="D274" s="2" t="inlineStr">
        <is>
          <t>0268-BC-SHEA/NAP-2026</t>
        </is>
      </c>
      <c r="E274" s="2" t="inlineStr">
        <is>
          <t>FRS00021</t>
        </is>
      </c>
      <c r="F274" s="3">
        <f>_xlfn.XLOOKUP(Table1[[#This Row],[Code Frs]],'CODE FRS'!B:B,'CODE FRS'!C:C)</f>
        <v/>
      </c>
      <c r="G274" s="2" t="inlineStr">
        <is>
          <t>BX7268RB/BX7269RB</t>
        </is>
      </c>
      <c r="H274" s="2" t="n">
        <v>151297794</v>
      </c>
      <c r="I274" s="2" t="n">
        <v>43.5</v>
      </c>
      <c r="J274" s="2" t="inlineStr">
        <is>
          <t>EN ATTENTE</t>
        </is>
      </c>
      <c r="K274" s="2">
        <f>_xlfn.IFNA(_xlfn.XLOOKUP(Table1[[#This Row],[N° BC]],'Commandes Dechargees'!B:B,'Commandes Dechargees'!P:P),"EN ATTENTE DE DECHARGEMENT")</f>
        <v/>
      </c>
    </row>
    <row r="275" ht="25.5" customHeight="1">
      <c r="C275" s="24" t="n">
        <v>46286</v>
      </c>
      <c r="D275" s="2" t="inlineStr">
        <is>
          <t>0268-BC-SHEA/NAP-2026</t>
        </is>
      </c>
      <c r="E275" s="2" t="inlineStr">
        <is>
          <t>FRS00001</t>
        </is>
      </c>
      <c r="F275" s="3">
        <f>_xlfn.XLOOKUP(Table1[[#This Row],[Code Frs]],'CODE FRS'!B:B,'CODE FRS'!C:C)</f>
        <v/>
      </c>
      <c r="G275" s="2" t="inlineStr">
        <is>
          <t>CK6669RB/AS0139RB</t>
        </is>
      </c>
      <c r="H275" s="2" t="n">
        <v>197880631</v>
      </c>
      <c r="I275" s="2" t="n">
        <v>50</v>
      </c>
      <c r="J275" s="2" t="inlineStr">
        <is>
          <t>EN ATTENTE</t>
        </is>
      </c>
      <c r="K275" s="2">
        <f>_xlfn.IFNA(_xlfn.XLOOKUP(Table1[[#This Row],[N° BC]],'Commandes Dechargees'!B:B,'Commandes Dechargees'!P:P),"EN ATTENTE DE DECHARGEMENT")</f>
        <v/>
      </c>
    </row>
    <row r="276" ht="25.5" customHeight="1">
      <c r="C276" s="24" t="n">
        <v>46286</v>
      </c>
      <c r="D276" s="2" t="inlineStr">
        <is>
          <t>0269-BC-SHEA/NAP-2026</t>
        </is>
      </c>
      <c r="E276" s="2" t="inlineStr">
        <is>
          <t>FRS00021</t>
        </is>
      </c>
      <c r="F276" s="3">
        <f>_xlfn.XLOOKUP(Table1[[#This Row],[Code Frs]],'CODE FRS'!B:B,'CODE FRS'!C:C)</f>
        <v/>
      </c>
      <c r="G276" s="2" t="inlineStr">
        <is>
          <t>BY0595RB/BT9373RB</t>
        </is>
      </c>
      <c r="H276" s="2" t="n">
        <v>144620429</v>
      </c>
      <c r="I276" s="2" t="n">
        <v>43</v>
      </c>
      <c r="J276" s="2" t="inlineStr">
        <is>
          <t>EN ATTENTE</t>
        </is>
      </c>
      <c r="K276" s="2">
        <f>_xlfn.IFNA(_xlfn.XLOOKUP(Table1[[#This Row],[N° BC]],'Commandes Dechargees'!B:B,'Commandes Dechargees'!P:P),"EN ATTENTE DE DECHARGEMENT")</f>
        <v/>
      </c>
    </row>
    <row r="277" ht="25.5" customHeight="1">
      <c r="C277" s="24" t="n">
        <v>46286</v>
      </c>
      <c r="D277" s="2" t="inlineStr">
        <is>
          <t>0270-BC-SHEA/NAP-2026</t>
        </is>
      </c>
      <c r="E277" s="2" t="inlineStr">
        <is>
          <t>FRS00016</t>
        </is>
      </c>
      <c r="F277" s="3">
        <f>_xlfn.XLOOKUP(Table1[[#This Row],[Code Frs]],'CODE FRS'!B:B,'CODE FRS'!C:C)</f>
        <v/>
      </c>
      <c r="G277" s="2" t="inlineStr">
        <is>
          <t>CA7583RB/AP2290RB</t>
        </is>
      </c>
      <c r="H277" s="2" t="n">
        <v>162060618</v>
      </c>
      <c r="I277" s="2" t="n">
        <v>50</v>
      </c>
      <c r="J277" s="2" t="inlineStr">
        <is>
          <t>EN ATTENTE</t>
        </is>
      </c>
      <c r="K277" s="2">
        <f>_xlfn.IFNA(_xlfn.XLOOKUP(Table1[[#This Row],[N° BC]],'Commandes Dechargees'!B:B,'Commandes Dechargees'!P:P),"EN ATTENTE DE DECHARGEMENT")</f>
        <v/>
      </c>
    </row>
    <row r="278" ht="25.5" customHeight="1">
      <c r="C278" s="24" t="n">
        <v>46286</v>
      </c>
      <c r="D278" s="2" t="inlineStr">
        <is>
          <t>0271-BC-SHEA/NAP-2026</t>
        </is>
      </c>
      <c r="E278" s="2" t="inlineStr">
        <is>
          <t>FRS00016</t>
        </is>
      </c>
      <c r="F278" s="3">
        <f>_xlfn.XLOOKUP(Table1[[#This Row],[Code Frs]],'CODE FRS'!B:B,'CODE FRS'!C:C)</f>
        <v/>
      </c>
      <c r="G278" s="2" t="inlineStr">
        <is>
          <t>CL0086RB</t>
        </is>
      </c>
      <c r="H278" s="2" t="n">
        <v>140901200</v>
      </c>
      <c r="I278" s="2" t="n">
        <v>50</v>
      </c>
      <c r="J278" s="2" t="inlineStr">
        <is>
          <t>EN ATTENTE</t>
        </is>
      </c>
      <c r="K278" s="2">
        <f>_xlfn.IFNA(_xlfn.XLOOKUP(Table1[[#This Row],[N° BC]],'Commandes Dechargees'!B:B,'Commandes Dechargees'!P:P),"EN ATTENTE DE DECHARGEMENT")</f>
        <v/>
      </c>
    </row>
    <row r="279" ht="25.5" customHeight="1">
      <c r="C279" s="24" t="n">
        <v>46286</v>
      </c>
      <c r="D279" s="2" t="inlineStr">
        <is>
          <t>0272-BC-SHEA/NAP-2026</t>
        </is>
      </c>
      <c r="E279" s="2" t="inlineStr">
        <is>
          <t>FRS00058</t>
        </is>
      </c>
      <c r="F279" s="3">
        <f>_xlfn.XLOOKUP(Table1[[#This Row],[Code Frs]],'CODE FRS'!B:B,'CODE FRS'!C:C)</f>
        <v/>
      </c>
      <c r="G279" s="2" t="inlineStr">
        <is>
          <t>AX2950RB/AY4562RB</t>
        </is>
      </c>
      <c r="H279" s="2" t="n">
        <v>194265065</v>
      </c>
      <c r="I279" s="2" t="n">
        <v>45</v>
      </c>
      <c r="J279" s="2" t="inlineStr">
        <is>
          <t>EN ATTENTE</t>
        </is>
      </c>
      <c r="K279" s="2">
        <f>_xlfn.IFNA(_xlfn.XLOOKUP(Table1[[#This Row],[N° BC]],'Commandes Dechargees'!B:B,'Commandes Dechargees'!P:P),"EN ATTENTE DE DECHARGEMENT")</f>
        <v/>
      </c>
    </row>
    <row r="280" ht="25.5" customHeight="1">
      <c r="C280" s="24" t="n">
        <v>46286</v>
      </c>
      <c r="D280" s="2" t="inlineStr">
        <is>
          <t>0273-BC-SHEA/NAP-2026</t>
        </is>
      </c>
      <c r="E280" s="2" t="inlineStr">
        <is>
          <t>FRS00039</t>
        </is>
      </c>
      <c r="F280" s="3">
        <f>_xlfn.XLOOKUP(Table1[[#This Row],[Code Frs]],'CODE FRS'!B:B,'CODE FRS'!C:C)</f>
        <v/>
      </c>
      <c r="G280" s="2" t="inlineStr">
        <is>
          <t>BN4683RB/CF1021RB</t>
        </is>
      </c>
      <c r="H280" s="2" t="n">
        <v>197043803</v>
      </c>
      <c r="I280" s="2" t="n">
        <v>50</v>
      </c>
      <c r="J280" s="2" t="inlineStr">
        <is>
          <t>EN ATTENTE</t>
        </is>
      </c>
      <c r="K280" s="2">
        <f>_xlfn.IFNA(_xlfn.XLOOKUP(Table1[[#This Row],[N° BC]],'Commandes Dechargees'!B:B,'Commandes Dechargees'!P:P),"EN ATTENTE DE DECHARGEMENT")</f>
        <v/>
      </c>
    </row>
    <row r="281" ht="25.5" customHeight="1">
      <c r="C281" s="24" t="n">
        <v>46286</v>
      </c>
      <c r="D281" s="2" t="inlineStr">
        <is>
          <t>0274-BC-SHEA/NAP-2026</t>
        </is>
      </c>
      <c r="E281" s="2" t="inlineStr">
        <is>
          <t>FRS00026</t>
        </is>
      </c>
      <c r="F281" s="3">
        <f>_xlfn.XLOOKUP(Table1[[#This Row],[Code Frs]],'CODE FRS'!B:B,'CODE FRS'!C:C)</f>
        <v/>
      </c>
      <c r="G281" s="2" t="inlineStr">
        <is>
          <t>BT7986RB/7988RB</t>
        </is>
      </c>
      <c r="H281" s="2" t="n">
        <v>147233259</v>
      </c>
      <c r="I281" s="2" t="n">
        <v>50</v>
      </c>
      <c r="J281" s="2" t="inlineStr">
        <is>
          <t>EN ATTENTE</t>
        </is>
      </c>
      <c r="K281" s="2">
        <f>_xlfn.IFNA(_xlfn.XLOOKUP(Table1[[#This Row],[N° BC]],'Commandes Dechargees'!B:B,'Commandes Dechargees'!P:P),"EN ATTENTE DE DECHARGEMENT")</f>
        <v/>
      </c>
    </row>
  </sheetData>
  <conditionalFormatting sqref="D5:D281">
    <cfRule type="duplicateValues" priority="44" dxfId="3"/>
  </conditionalFormatting>
  <conditionalFormatting sqref="J1:J1048576">
    <cfRule type="cellIs" priority="3" operator="equal" dxfId="11">
      <formula>"APPROUVE"</formula>
    </cfRule>
  </conditionalFormatting>
  <conditionalFormatting sqref="J5:J281">
    <cfRule type="cellIs" priority="8" operator="equal" dxfId="8">
      <formula>"REJETE"</formula>
    </cfRule>
    <cfRule type="cellIs" priority="9" operator="equal" dxfId="1">
      <formula>"EN ATTENTE"</formula>
    </cfRule>
  </conditionalFormatting>
  <conditionalFormatting sqref="K1:K1048576">
    <cfRule type="cellIs" priority="2" operator="equal" dxfId="8">
      <formula>"REJETE"</formula>
    </cfRule>
  </conditionalFormatting>
  <conditionalFormatting sqref="K5:K281">
    <cfRule type="cellIs" priority="6" operator="equal" dxfId="2">
      <formula>"DECHARGE"</formula>
    </cfRule>
    <cfRule type="cellIs" priority="7" operator="equal" dxfId="0">
      <formula>"EN ATTENTE DE DECHARGEMENT"</formula>
    </cfRule>
  </conditionalFormatting>
  <pageMargins left="0.3" right="0.3" top="0.4" bottom="0.4" header="0.511811023622047" footer="0.511811023622047"/>
  <pageSetup orientation="landscape" scale="54" fitToHeight="0" horizontalDpi="300" verticalDpi="30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K62"/>
  <sheetViews>
    <sheetView zoomScale="70" zoomScaleNormal="70" workbookViewId="0">
      <selection activeCell="B62" sqref="B62"/>
    </sheetView>
  </sheetViews>
  <sheetFormatPr baseColWidth="10" defaultColWidth="8.7265625" defaultRowHeight="14.5"/>
  <cols>
    <col width="16.1796875" customWidth="1" min="2" max="2"/>
    <col width="50.08984375" bestFit="1" customWidth="1" min="3" max="3"/>
    <col width="12.1796875" bestFit="1" customWidth="1" min="6" max="6"/>
    <col width="28.7265625" bestFit="1" customWidth="1" min="7" max="7"/>
  </cols>
  <sheetData>
    <row r="1" ht="23" customHeight="1">
      <c r="A1" s="9" t="inlineStr">
        <is>
          <t>CODE FOURNISSEUR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3" ht="23.5" customHeight="1">
      <c r="B3" s="8" t="inlineStr">
        <is>
          <t xml:space="preserve">CODE </t>
        </is>
      </c>
      <c r="C3" s="8" t="inlineStr">
        <is>
          <t>NOM DU FOURNISSEUR</t>
        </is>
      </c>
      <c r="F3" s="8" t="inlineStr">
        <is>
          <t>Verdict Labo</t>
        </is>
      </c>
      <c r="G3" s="8" t="inlineStr">
        <is>
          <t>Statut Livraison</t>
        </is>
      </c>
    </row>
    <row r="4" hidden="1" ht="18.5" customHeight="1">
      <c r="B4" s="32" t="inlineStr">
        <is>
          <t>FRS00001</t>
        </is>
      </c>
      <c r="C4" s="32" t="inlineStr">
        <is>
          <t>TCHANIGA SAMSON</t>
        </is>
      </c>
      <c r="F4" s="7" t="inlineStr">
        <is>
          <t>APROUVE</t>
        </is>
      </c>
      <c r="G4" s="7" t="inlineStr">
        <is>
          <t>DECHARGE</t>
        </is>
      </c>
    </row>
    <row r="5" hidden="1" ht="18.5" customHeight="1">
      <c r="B5" s="32" t="inlineStr">
        <is>
          <t>FRS00002</t>
        </is>
      </c>
      <c r="C5" s="32" t="inlineStr">
        <is>
          <t>ISMAEL WASSIOU/ Mme ELISABETH</t>
        </is>
      </c>
      <c r="F5" s="7" t="inlineStr">
        <is>
          <t>REJETE</t>
        </is>
      </c>
      <c r="G5" s="7" t="inlineStr">
        <is>
          <t>REJETE</t>
        </is>
      </c>
    </row>
    <row r="6" hidden="1" ht="18.5" customHeight="1">
      <c r="B6" s="32" t="inlineStr">
        <is>
          <t>FRS00003</t>
        </is>
      </c>
      <c r="C6" s="32" t="inlineStr">
        <is>
          <t>BADAROU SAID</t>
        </is>
      </c>
      <c r="F6" s="7" t="inlineStr">
        <is>
          <t>EN ATTENTE</t>
        </is>
      </c>
      <c r="G6" s="7" t="inlineStr">
        <is>
          <t>EN ATTENTE DE DECHARGEMENT</t>
        </is>
      </c>
    </row>
    <row r="7" hidden="1" ht="18.5" customHeight="1">
      <c r="B7" s="32" t="inlineStr">
        <is>
          <t>FRS00004</t>
        </is>
      </c>
      <c r="C7" s="32" t="inlineStr">
        <is>
          <t>ISMAEL WASSIOU</t>
        </is>
      </c>
      <c r="F7" s="7" t="inlineStr">
        <is>
          <t>ANNULE</t>
        </is>
      </c>
      <c r="G7" s="7" t="inlineStr">
        <is>
          <t>ANNULE</t>
        </is>
      </c>
    </row>
    <row r="8" hidden="1" ht="18.5" customHeight="1">
      <c r="B8" s="32" t="inlineStr">
        <is>
          <t>FRS00005</t>
        </is>
      </c>
      <c r="C8" s="32" t="inlineStr">
        <is>
          <t>ALLASSANE MARWANE</t>
        </is>
      </c>
      <c r="F8" s="7" t="n"/>
      <c r="G8" s="7" t="n"/>
    </row>
    <row r="9" hidden="1" ht="18.5" customHeight="1">
      <c r="B9" s="32" t="inlineStr">
        <is>
          <t>FRS00006</t>
        </is>
      </c>
      <c r="C9" s="32" t="inlineStr">
        <is>
          <t>VLAVONOU PIERRE</t>
        </is>
      </c>
      <c r="F9" s="7" t="n"/>
      <c r="G9" s="7" t="n"/>
    </row>
    <row r="10" hidden="1" ht="18.5" customHeight="1">
      <c r="B10" s="32" t="inlineStr">
        <is>
          <t>FRS00007</t>
        </is>
      </c>
      <c r="C10" s="32" t="inlineStr">
        <is>
          <t>BRISSO BIO ALIDOU</t>
        </is>
      </c>
    </row>
    <row r="11" hidden="1" ht="18.5" customHeight="1">
      <c r="B11" s="32" t="inlineStr">
        <is>
          <t>FRS00008</t>
        </is>
      </c>
      <c r="C11" s="32" t="inlineStr">
        <is>
          <t>HERVE KOBOLOU</t>
        </is>
      </c>
    </row>
    <row r="12" hidden="1" ht="18.5" customHeight="1">
      <c r="B12" s="32" t="inlineStr">
        <is>
          <t>FRS00009</t>
        </is>
      </c>
      <c r="C12" s="32" t="inlineStr">
        <is>
          <t>GOUDO DOSSOU ROMAIN</t>
        </is>
      </c>
    </row>
    <row r="13" hidden="1" ht="18.5" customHeight="1">
      <c r="B13" s="32" t="inlineStr">
        <is>
          <t>FRS00010</t>
        </is>
      </c>
      <c r="C13" s="32" t="inlineStr">
        <is>
          <t>COMLAN MAHOUSSE JOSPIN</t>
        </is>
      </c>
    </row>
    <row r="14" hidden="1" ht="18.5" customHeight="1">
      <c r="B14" s="32" t="inlineStr">
        <is>
          <t>FRS00011</t>
        </is>
      </c>
      <c r="C14" s="32" t="inlineStr">
        <is>
          <t>CHIGBLO FERDINAND</t>
        </is>
      </c>
    </row>
    <row r="15" hidden="1" ht="18.5" customHeight="1">
      <c r="B15" s="32" t="inlineStr">
        <is>
          <t>FRS00012</t>
        </is>
      </c>
      <c r="C15" s="32" t="inlineStr">
        <is>
          <t>ROLAND ADANHONDJI</t>
        </is>
      </c>
    </row>
    <row r="16" hidden="1" ht="18.5" customHeight="1">
      <c r="B16" s="32" t="inlineStr">
        <is>
          <t>FRS00013</t>
        </is>
      </c>
      <c r="C16" s="32" t="inlineStr">
        <is>
          <t>MENSAH DANIEL JOEL</t>
        </is>
      </c>
    </row>
    <row r="17" hidden="1" ht="18.5" customHeight="1">
      <c r="B17" s="32" t="inlineStr">
        <is>
          <t>FRS00014</t>
        </is>
      </c>
      <c r="C17" s="32" t="inlineStr">
        <is>
          <t>FIOGBE</t>
        </is>
      </c>
    </row>
    <row r="18" hidden="1" ht="18.5" customHeight="1">
      <c r="B18" s="32" t="inlineStr">
        <is>
          <t>FRS00015</t>
        </is>
      </c>
      <c r="C18" s="32" t="inlineStr">
        <is>
          <t>GBAGBE MATHIAS</t>
        </is>
      </c>
    </row>
    <row r="19" hidden="1" ht="18.5" customHeight="1">
      <c r="B19" s="32" t="inlineStr">
        <is>
          <t>FRS00016</t>
        </is>
      </c>
      <c r="C19" s="32" t="inlineStr">
        <is>
          <t>AHEGNI CASIMIR</t>
        </is>
      </c>
    </row>
    <row r="20" hidden="1" ht="18.5" customHeight="1">
      <c r="B20" s="32" t="inlineStr">
        <is>
          <t>FRS00017</t>
        </is>
      </c>
      <c r="C20" s="32" t="inlineStr">
        <is>
          <t>AHOSSI GABIN</t>
        </is>
      </c>
    </row>
    <row r="21" hidden="1" ht="18.5" customHeight="1">
      <c r="B21" s="32" t="inlineStr">
        <is>
          <t>FRS00018</t>
        </is>
      </c>
      <c r="C21" s="32" t="inlineStr">
        <is>
          <t>ODOUTAN OLANIRAN HAMED</t>
        </is>
      </c>
    </row>
    <row r="22" hidden="1" ht="18.5" customHeight="1">
      <c r="B22" s="32" t="inlineStr">
        <is>
          <t>FRS00019</t>
        </is>
      </c>
      <c r="C22" s="32" t="inlineStr">
        <is>
          <t>GOUNOU ELISABETH</t>
        </is>
      </c>
    </row>
    <row r="23" hidden="1" ht="18.5" customHeight="1">
      <c r="B23" s="32" t="inlineStr">
        <is>
          <t>FRS00020</t>
        </is>
      </c>
      <c r="C23" s="32" t="inlineStr">
        <is>
          <t>DOSSA MATHURIN</t>
        </is>
      </c>
    </row>
    <row r="24" hidden="1" ht="18.5" customHeight="1">
      <c r="B24" s="32" t="inlineStr">
        <is>
          <t>FRS00021</t>
        </is>
      </c>
      <c r="C24" s="32" t="inlineStr">
        <is>
          <t>NOEL DOLEME</t>
        </is>
      </c>
    </row>
    <row r="25" hidden="1" ht="18.5" customHeight="1">
      <c r="B25" s="32" t="inlineStr">
        <is>
          <t>FRS00022</t>
        </is>
      </c>
      <c r="C25" s="32" t="inlineStr">
        <is>
          <t>DAA-HINGBANON VIRGILE</t>
        </is>
      </c>
    </row>
    <row r="26" hidden="1" ht="18.5" customHeight="1">
      <c r="B26" s="32" t="inlineStr">
        <is>
          <t>FRS00023</t>
        </is>
      </c>
      <c r="C26" s="32" t="inlineStr">
        <is>
          <t>FAGRO SOUROU GILDAS</t>
        </is>
      </c>
    </row>
    <row r="27" hidden="1" ht="18.5" customHeight="1">
      <c r="B27" s="32" t="inlineStr">
        <is>
          <t>FRS00024</t>
        </is>
      </c>
      <c r="C27" s="32" t="inlineStr">
        <is>
          <t>MOISE YENAFO</t>
        </is>
      </c>
    </row>
    <row r="28" hidden="1" ht="18.5" customHeight="1">
      <c r="B28" s="32" t="inlineStr">
        <is>
          <t>FRS00025</t>
        </is>
      </c>
      <c r="C28" s="32" t="inlineStr">
        <is>
          <t>ASSOGBA LEON</t>
        </is>
      </c>
    </row>
    <row r="29" hidden="1" ht="18.5" customHeight="1">
      <c r="B29" s="32" t="inlineStr">
        <is>
          <t>FRS00026</t>
        </is>
      </c>
      <c r="C29" s="32" t="inlineStr">
        <is>
          <t>AZOGA ARMAND</t>
        </is>
      </c>
    </row>
    <row r="30" hidden="1" ht="18.5" customHeight="1">
      <c r="B30" s="32" t="inlineStr">
        <is>
          <t>FRS00027</t>
        </is>
      </c>
      <c r="C30" s="32" t="inlineStr">
        <is>
          <t>EDKO BUSINESS/ KOGNANNOU EDMOND</t>
        </is>
      </c>
    </row>
    <row r="31" hidden="1" ht="18.5" customHeight="1">
      <c r="B31" s="32" t="inlineStr">
        <is>
          <t>FRS00028</t>
        </is>
      </c>
      <c r="C31" s="32" t="inlineStr">
        <is>
          <t>TCHANIGA LEONARD</t>
        </is>
      </c>
    </row>
    <row r="32" hidden="1" ht="18.5" customHeight="1">
      <c r="B32" s="32" t="inlineStr">
        <is>
          <t>FRS00029</t>
        </is>
      </c>
      <c r="C32" s="32" t="inlineStr">
        <is>
          <t>AMAH SEIDOU</t>
        </is>
      </c>
    </row>
    <row r="33" hidden="1" ht="18.5" customHeight="1">
      <c r="B33" s="32" t="inlineStr">
        <is>
          <t>FRS00030</t>
        </is>
      </c>
      <c r="C33" s="32" t="inlineStr">
        <is>
          <t>ATACLE STEPHANE</t>
        </is>
      </c>
    </row>
    <row r="34" hidden="1" ht="18.5" customHeight="1">
      <c r="B34" s="32" t="inlineStr">
        <is>
          <t>FRS00031</t>
        </is>
      </c>
      <c r="C34" s="32" t="inlineStr">
        <is>
          <t>PROSPERE</t>
        </is>
      </c>
    </row>
    <row r="35" hidden="1" ht="18.5" customHeight="1">
      <c r="B35" s="32" t="inlineStr">
        <is>
          <t>FRS00032</t>
        </is>
      </c>
      <c r="C35" s="32" t="inlineStr">
        <is>
          <t>HASSANE SEYNI</t>
        </is>
      </c>
    </row>
    <row r="36" hidden="1" ht="18.5" customHeight="1">
      <c r="B36" s="32" t="inlineStr">
        <is>
          <t>FRS00033</t>
        </is>
      </c>
      <c r="C36" s="32" t="inlineStr">
        <is>
          <t>GODONOU CHARLES</t>
        </is>
      </c>
    </row>
    <row r="37" hidden="1" ht="18.5" customHeight="1">
      <c r="B37" s="32" t="inlineStr">
        <is>
          <t>FRS00034</t>
        </is>
      </c>
      <c r="C37" s="32" t="inlineStr">
        <is>
          <t>HOUNTON NICOLAS</t>
        </is>
      </c>
    </row>
    <row r="38" hidden="1" ht="18.5" customHeight="1">
      <c r="B38" s="32" t="inlineStr">
        <is>
          <t>FRS00035</t>
        </is>
      </c>
      <c r="C38" s="32" t="inlineStr">
        <is>
          <t>PANKAJ KUMAR</t>
        </is>
      </c>
    </row>
    <row r="39" hidden="1" ht="18.5" customHeight="1">
      <c r="B39" s="32" t="inlineStr">
        <is>
          <t>FRS00036</t>
        </is>
      </c>
      <c r="C39" s="32" t="inlineStr">
        <is>
          <t>ADANNON BLOND</t>
        </is>
      </c>
    </row>
    <row r="40" hidden="1" ht="18.5" customHeight="1">
      <c r="B40" s="32" t="inlineStr">
        <is>
          <t>FRS00037</t>
        </is>
      </c>
      <c r="C40" s="32" t="inlineStr">
        <is>
          <t>SABI SARA MAMADOU</t>
        </is>
      </c>
    </row>
    <row r="41" hidden="1" ht="18.5" customHeight="1">
      <c r="B41" s="32" t="inlineStr">
        <is>
          <t>FRS00038</t>
        </is>
      </c>
      <c r="C41" s="32" t="inlineStr">
        <is>
          <t>Mr LOUIS</t>
        </is>
      </c>
    </row>
    <row r="42" hidden="1" ht="18.5" customHeight="1">
      <c r="B42" s="32" t="inlineStr">
        <is>
          <t>FRS00039</t>
        </is>
      </c>
      <c r="C42" s="32" t="inlineStr">
        <is>
          <t>Mr MOMO</t>
        </is>
      </c>
    </row>
    <row r="43" hidden="1" ht="18.5" customHeight="1">
      <c r="B43" s="32" t="inlineStr">
        <is>
          <t>FRS00040</t>
        </is>
      </c>
      <c r="C43" s="32" t="inlineStr">
        <is>
          <t>HOUNDJREBO G.PAULETTE</t>
        </is>
      </c>
    </row>
    <row r="44" hidden="1" ht="18.5" customHeight="1">
      <c r="B44" s="32" t="inlineStr">
        <is>
          <t>FRS00041</t>
        </is>
      </c>
      <c r="C44" s="32" t="inlineStr">
        <is>
          <t>AKPAKPO NOURIDINE</t>
        </is>
      </c>
    </row>
    <row r="45" hidden="1" ht="18.5" customHeight="1">
      <c r="B45" s="32" t="inlineStr">
        <is>
          <t>FRS00042</t>
        </is>
      </c>
      <c r="C45" s="32" t="inlineStr">
        <is>
          <t>N’DOKPO IREMAN</t>
        </is>
      </c>
    </row>
    <row r="46" hidden="1" ht="18.5" customHeight="1">
      <c r="B46" s="32" t="inlineStr">
        <is>
          <t>FRS00043</t>
        </is>
      </c>
      <c r="C46" s="32" t="inlineStr">
        <is>
          <t>MONTCHO NOBERT</t>
        </is>
      </c>
    </row>
    <row r="47" hidden="1" ht="18.5" customHeight="1">
      <c r="B47" s="32" t="inlineStr">
        <is>
          <t>FRS00044</t>
        </is>
      </c>
      <c r="C47" s="32" t="inlineStr">
        <is>
          <t>WANGNANNON ABEL</t>
        </is>
      </c>
    </row>
    <row r="48" hidden="1" ht="18.5" customHeight="1">
      <c r="B48" s="32" t="inlineStr">
        <is>
          <t>FRS00045</t>
        </is>
      </c>
      <c r="C48" s="32" t="inlineStr">
        <is>
          <t>HOUEDANOU JUSTIN</t>
        </is>
      </c>
    </row>
    <row r="49" hidden="1" ht="18.5" customHeight="1">
      <c r="B49" s="32" t="inlineStr">
        <is>
          <t>FRS00046</t>
        </is>
      </c>
      <c r="C49" s="32" t="inlineStr">
        <is>
          <t>KOUMENOUGBO MARUIS</t>
        </is>
      </c>
    </row>
    <row r="50" hidden="1" ht="18.5" customHeight="1">
      <c r="B50" s="32" t="inlineStr">
        <is>
          <t>FRS00047</t>
        </is>
      </c>
      <c r="C50" s="32" t="inlineStr">
        <is>
          <t>AGUETON MATHIAS</t>
        </is>
      </c>
      <c r="F50" s="32" t="n"/>
    </row>
    <row r="51" hidden="1" ht="18.5" customHeight="1">
      <c r="B51" s="32" t="inlineStr">
        <is>
          <t>FRS00048</t>
        </is>
      </c>
      <c r="C51" s="32" t="inlineStr">
        <is>
          <t>AMINOU KIKI</t>
        </is>
      </c>
    </row>
    <row r="52" hidden="1" ht="18.5" customHeight="1">
      <c r="B52" s="32" t="inlineStr">
        <is>
          <t>FRS00049</t>
        </is>
      </c>
      <c r="C52" s="32" t="inlineStr">
        <is>
          <t>AHEGNI HIPPOLYTE</t>
        </is>
      </c>
    </row>
    <row r="53" hidden="1" ht="18.5" customHeight="1">
      <c r="B53" s="32" t="inlineStr">
        <is>
          <t>FRS00050</t>
        </is>
      </c>
      <c r="C53" s="32" t="inlineStr">
        <is>
          <t>AGBESSADJI FERNAND</t>
        </is>
      </c>
    </row>
    <row r="54" hidden="1" ht="18.5" customHeight="1">
      <c r="B54" s="32" t="inlineStr">
        <is>
          <t>FRS00051</t>
        </is>
      </c>
      <c r="C54" s="32" t="inlineStr">
        <is>
          <t>Mme ROSE</t>
        </is>
      </c>
    </row>
    <row r="55" hidden="1" ht="18.5" customHeight="1">
      <c r="B55" s="32" t="inlineStr">
        <is>
          <t>FRS00052</t>
        </is>
      </c>
      <c r="C55" s="32" t="inlineStr">
        <is>
          <t>RAMDAN ADAM</t>
        </is>
      </c>
    </row>
    <row r="56" hidden="1" ht="18.5" customHeight="1">
      <c r="B56" s="32" t="inlineStr">
        <is>
          <t>FRS00053</t>
        </is>
      </c>
      <c r="C56" s="32" t="inlineStr">
        <is>
          <t>FRED MAKITA</t>
        </is>
      </c>
    </row>
    <row r="57" hidden="1" ht="18.5" customHeight="1">
      <c r="B57" s="32" t="inlineStr">
        <is>
          <t>FRS00054</t>
        </is>
      </c>
      <c r="C57" s="32" t="inlineStr">
        <is>
          <t>ASSOUNI WAHABOU</t>
        </is>
      </c>
    </row>
    <row r="58" hidden="1" ht="18.5" customHeight="1">
      <c r="B58" s="32" t="inlineStr">
        <is>
          <t>FRS00055</t>
        </is>
      </c>
      <c r="C58" s="32" t="inlineStr">
        <is>
          <t>ABDOU AZIZ</t>
        </is>
      </c>
    </row>
    <row r="59" hidden="1" ht="18.5" customHeight="1">
      <c r="B59" s="32" t="inlineStr">
        <is>
          <t>FRS00056</t>
        </is>
      </c>
      <c r="C59" s="32" t="inlineStr">
        <is>
          <t>FREEMAN</t>
        </is>
      </c>
    </row>
    <row r="60" hidden="1" ht="18.5" customHeight="1">
      <c r="B60" s="32" t="inlineStr">
        <is>
          <t>FRS00057</t>
        </is>
      </c>
      <c r="C60" s="32" t="inlineStr">
        <is>
          <t>KPADONOU SOUROU</t>
        </is>
      </c>
    </row>
    <row r="61" hidden="1" ht="18.5" customHeight="1">
      <c r="B61" s="32" t="inlineStr">
        <is>
          <t>FRS00058</t>
        </is>
      </c>
      <c r="C61" s="32" t="inlineStr">
        <is>
          <t>MM LEKKER</t>
        </is>
      </c>
    </row>
    <row r="62" ht="18.5" customHeight="1">
      <c r="B62" s="32" t="inlineStr">
        <is>
          <t>FRS00059</t>
        </is>
      </c>
      <c r="C62" s="32" t="inlineStr">
        <is>
          <t>MR MOUSSA</t>
        </is>
      </c>
    </row>
  </sheetData>
  <autoFilter ref="B3:C62">
    <filterColumn colId="1" hiddenButton="0" showButton="1">
      <filters>
        <filter val="MR MOUSSA"/>
      </filters>
    </filterColumn>
  </autoFilter>
  <pageMargins left="0.7" right="0.7" top="0.75" bottom="0.75" header="0.3" footer="0.3"/>
  <pageSetup orientation="portrait" paperSize="9" scale="52"/>
</worksheet>
</file>

<file path=xl/worksheets/sheet4.xml><?xml version="1.0" encoding="utf-8"?>
<worksheet xmlns="http://schemas.openxmlformats.org/spreadsheetml/2006/main">
  <sheetPr>
    <tabColor rgb="FFC9A227"/>
    <outlinePr summaryBelow="1" summaryRight="1"/>
    <pageSetUpPr fitToPage="1"/>
  </sheetPr>
  <dimension ref="A1:R174"/>
  <sheetViews>
    <sheetView showGridLines="0" zoomScale="57" zoomScaleNormal="57" workbookViewId="0">
      <pane ySplit="4" topLeftCell="A131" activePane="bottomLeft" state="frozen"/>
      <selection pane="bottomLeft" activeCell="E169" sqref="E169"/>
    </sheetView>
  </sheetViews>
  <sheetFormatPr baseColWidth="10" defaultColWidth="8.6328125" defaultRowHeight="14.5"/>
  <cols>
    <col width="19.26953125" customWidth="1" min="1" max="1"/>
    <col width="16" customWidth="1" min="2" max="3"/>
    <col width="18.6328125" bestFit="1" customWidth="1" min="4" max="4"/>
    <col width="50.08984375" bestFit="1" customWidth="1" min="5" max="5"/>
    <col width="22" customWidth="1" min="6" max="7"/>
    <col width="15.36328125" customWidth="1" min="8" max="8"/>
    <col width="10" customWidth="1" min="9" max="9"/>
    <col width="15.08984375" customWidth="1" min="10" max="10"/>
    <col width="21.26953125" customWidth="1" min="11" max="11"/>
    <col width="20.36328125" bestFit="1" customWidth="1" min="12" max="13"/>
    <col width="16.08984375" customWidth="1" min="14" max="14"/>
    <col width="30.453125" bestFit="1" customWidth="1" min="15" max="15"/>
    <col width="16.26953125" customWidth="1" min="16" max="16"/>
    <col width="14.54296875" customWidth="1" min="17" max="17"/>
  </cols>
  <sheetData>
    <row r="1" ht="42" customHeight="1">
      <c r="A1" s="9" t="inlineStr">
        <is>
          <t>COMMANDES DECHARGEES &amp; PAIEMENTS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</row>
    <row r="2" ht="18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</row>
    <row r="3" ht="33.5" customHeight="1">
      <c r="H3" s="27">
        <f>SUBTOTAL(9,Table2[Poids Net (KG)])</f>
        <v/>
      </c>
      <c r="I3" s="27">
        <f>SUBTOTAL(9,Table2[Nb Sacs])</f>
        <v/>
      </c>
      <c r="J3" s="69">
        <f>AVERAGE(Table2[PU (FCFA/KG)])</f>
        <v/>
      </c>
      <c r="K3" s="70">
        <f>SUBTOTAL(9,Table2[Montant Du])</f>
        <v/>
      </c>
      <c r="L3" s="71">
        <f>SUBTOTAL(9,Table2[Montant Paye])</f>
        <v/>
      </c>
      <c r="M3" s="72">
        <f>SUBTOTAL(9,Table2[Solde Restant])</f>
        <v/>
      </c>
    </row>
    <row r="4" ht="45.5" customHeight="1">
      <c r="A4" s="49" t="inlineStr">
        <is>
          <t>Date Dechargement</t>
        </is>
      </c>
      <c r="B4" s="14" t="inlineStr">
        <is>
          <t>N° BC</t>
        </is>
      </c>
      <c r="C4" s="14" t="inlineStr">
        <is>
          <t>Transaction</t>
        </is>
      </c>
      <c r="D4" s="14" t="inlineStr">
        <is>
          <t>Code Frs</t>
        </is>
      </c>
      <c r="E4" s="6" t="inlineStr">
        <is>
          <t>Fournisseur</t>
        </is>
      </c>
      <c r="F4" s="6" t="inlineStr">
        <is>
          <t>N° Camion</t>
        </is>
      </c>
      <c r="G4" s="6" t="inlineStr">
        <is>
          <t>WEIGHMENT TICKET</t>
        </is>
      </c>
      <c r="H4" s="6" t="inlineStr">
        <is>
          <t>Poids Net (KG)</t>
        </is>
      </c>
      <c r="I4" s="6" t="inlineStr">
        <is>
          <t>Nb Sacs</t>
        </is>
      </c>
      <c r="J4" s="6" t="inlineStr">
        <is>
          <t>PU (FCFA/KG)</t>
        </is>
      </c>
      <c r="K4" s="6" t="inlineStr">
        <is>
          <t>Montant Du</t>
        </is>
      </c>
      <c r="L4" s="6" t="inlineStr">
        <is>
          <t>Montant Paye</t>
        </is>
      </c>
      <c r="M4" s="6" t="inlineStr">
        <is>
          <t>Solde Restant</t>
        </is>
      </c>
      <c r="N4" s="6" t="inlineStr">
        <is>
          <t>Statut Paiement</t>
        </is>
      </c>
      <c r="O4" s="6" t="inlineStr">
        <is>
          <t>Bon de paiement</t>
        </is>
      </c>
      <c r="P4" s="14" t="inlineStr">
        <is>
          <t>Statut Livraison</t>
        </is>
      </c>
      <c r="Q4" s="15" t="inlineStr">
        <is>
          <t>Lieu Stockage</t>
        </is>
      </c>
    </row>
    <row r="5" ht="18.5" customHeight="1">
      <c r="A5" s="47" t="n">
        <v>46245</v>
      </c>
      <c r="B5" s="1" t="inlineStr">
        <is>
          <t>0001-BC-SHEA/NAP-2026</t>
        </is>
      </c>
      <c r="C5" s="22" t="n">
        <v>1004</v>
      </c>
      <c r="D5" s="1" t="inlineStr">
        <is>
          <t>FRS00001</t>
        </is>
      </c>
      <c r="E5" s="3">
        <f>_xlfn.XLOOKUP(D5,'CODE FRS'!B:B,'CODE FRS'!C:C)</f>
        <v/>
      </c>
      <c r="F5" s="2" t="inlineStr">
        <is>
          <t>CA7583RB/AP2290RB</t>
        </is>
      </c>
      <c r="G5" s="2" t="n">
        <v>34650</v>
      </c>
      <c r="H5" s="4" t="n">
        <v>47300</v>
      </c>
      <c r="I5" s="4" t="n">
        <v>452</v>
      </c>
      <c r="J5" s="4" t="n">
        <v>330</v>
      </c>
      <c r="K5" s="4">
        <f>H5*J5</f>
        <v/>
      </c>
      <c r="L5" s="4">
        <f>6000000+9609000</f>
        <v/>
      </c>
      <c r="M5" s="4">
        <f>K5-L5</f>
        <v/>
      </c>
      <c r="N5" s="2">
        <f t="array" ref="N5">_xlfn.IFNA(_xlfn.IFS(M5=0,"PAYE",K5=M5,"NON PAYE"),"PARTIEL")</f>
        <v/>
      </c>
      <c r="O5" s="23" t="inlineStr">
        <is>
          <t>CHQ-0129-2026 &amp; CHQ-0138-2026</t>
        </is>
      </c>
      <c r="P5" s="23" t="inlineStr">
        <is>
          <t>DECHARGE</t>
        </is>
      </c>
      <c r="Q5" s="26" t="inlineStr">
        <is>
          <t>GDIZ</t>
        </is>
      </c>
    </row>
    <row r="6">
      <c r="A6" s="47" t="n">
        <v>46244</v>
      </c>
      <c r="B6" s="1" t="inlineStr">
        <is>
          <t>0002-BC-SHEA/NAP-2026</t>
        </is>
      </c>
      <c r="C6" s="22" t="n">
        <v>1003</v>
      </c>
      <c r="D6" s="1" t="inlineStr">
        <is>
          <t>FRS00002</t>
        </is>
      </c>
      <c r="E6" s="3">
        <f>_xlfn.XLOOKUP(D6,'CODE FRS'!B:B,'CODE FRS'!C:C)</f>
        <v/>
      </c>
      <c r="F6" s="2" t="inlineStr">
        <is>
          <t>BL6012RB/AS9458RB</t>
        </is>
      </c>
      <c r="G6" s="2" t="n">
        <v>34599</v>
      </c>
      <c r="H6" s="4" t="n">
        <v>49380</v>
      </c>
      <c r="I6" s="4" t="n">
        <v>467</v>
      </c>
      <c r="J6" s="4" t="n">
        <v>330</v>
      </c>
      <c r="K6" s="4">
        <f>H6*J6</f>
        <v/>
      </c>
      <c r="L6" s="4" t="n">
        <v>16295400</v>
      </c>
      <c r="M6" s="4">
        <f>K6-L6</f>
        <v/>
      </c>
      <c r="N6" s="2">
        <f t="array" ref="N6">_xlfn.IFNA(_xlfn.IFS(M6=0,"PAYE",K6=M6,"NON PAYE"),"PARTIEL")</f>
        <v/>
      </c>
      <c r="O6" s="23" t="inlineStr">
        <is>
          <t>CHQ-0133-2026</t>
        </is>
      </c>
      <c r="P6" s="23" t="inlineStr">
        <is>
          <t>DECHARGE</t>
        </is>
      </c>
      <c r="Q6" s="26" t="inlineStr">
        <is>
          <t>GDIZ</t>
        </is>
      </c>
    </row>
    <row r="7">
      <c r="A7" s="47" t="n">
        <v>46245</v>
      </c>
      <c r="B7" s="24" t="inlineStr">
        <is>
          <t>0003-BC-SHEA/NAP-2026</t>
        </is>
      </c>
      <c r="C7" s="22" t="n">
        <v>1001</v>
      </c>
      <c r="D7" s="1" t="inlineStr">
        <is>
          <t>FRS00001</t>
        </is>
      </c>
      <c r="E7" s="3">
        <f>_xlfn.XLOOKUP(D7,'CODE FRS'!B:B,'CODE FRS'!C:C)</f>
        <v/>
      </c>
      <c r="F7" s="2" t="inlineStr">
        <is>
          <t>BU4105RB/BS8146RB</t>
        </is>
      </c>
      <c r="G7" s="2" t="n">
        <v>34658</v>
      </c>
      <c r="H7" s="4" t="n">
        <v>50160</v>
      </c>
      <c r="I7" s="4" t="n">
        <v>490</v>
      </c>
      <c r="J7" s="4" t="n">
        <v>330</v>
      </c>
      <c r="K7" s="4">
        <f>H7*J7</f>
        <v/>
      </c>
      <c r="L7" s="4" t="n">
        <v>16552800</v>
      </c>
      <c r="M7" s="4">
        <f>K7-L7</f>
        <v/>
      </c>
      <c r="N7" s="2">
        <f t="array" ref="N7">_xlfn.IFNA(_xlfn.IFS(M7=0,"PAYE",K7=M7,"NON PAYE"),"PARTIEL")</f>
        <v/>
      </c>
      <c r="O7" s="23" t="inlineStr">
        <is>
          <t>CHQ-0131-2026</t>
        </is>
      </c>
      <c r="P7" s="23" t="inlineStr">
        <is>
          <t>DECHARGE</t>
        </is>
      </c>
      <c r="Q7" s="26" t="inlineStr">
        <is>
          <t>GDIZ</t>
        </is>
      </c>
    </row>
    <row r="8">
      <c r="A8" s="47" t="n">
        <v>46247</v>
      </c>
      <c r="B8" s="1" t="inlineStr">
        <is>
          <t>0007-BC-SHEA/NAP-2026</t>
        </is>
      </c>
      <c r="C8" s="22" t="n">
        <v>1002</v>
      </c>
      <c r="D8" s="1" t="inlineStr">
        <is>
          <t>FRS00002</t>
        </is>
      </c>
      <c r="E8" s="3">
        <f>_xlfn.XLOOKUP(D8,'CODE FRS'!B:B,'CODE FRS'!C:C)</f>
        <v/>
      </c>
      <c r="F8" s="2" t="inlineStr">
        <is>
          <t>CL7219RB/CH7144RB</t>
        </is>
      </c>
      <c r="G8" s="2" t="n">
        <v>34726</v>
      </c>
      <c r="H8" s="4" t="n">
        <v>49600</v>
      </c>
      <c r="I8" s="4" t="n">
        <v>508</v>
      </c>
      <c r="J8" s="4" t="n">
        <v>330</v>
      </c>
      <c r="K8" s="4">
        <f>H8*J8</f>
        <v/>
      </c>
      <c r="L8" s="4" t="n">
        <v>0</v>
      </c>
      <c r="M8" s="4">
        <f>K8-L8</f>
        <v/>
      </c>
      <c r="N8" s="2">
        <f t="array" ref="N8">_xlfn.IFNA(_xlfn.IFS(M8=0,"PAYE",K8=M8,"NON PAYE"),"PARTIEL")</f>
        <v/>
      </c>
      <c r="O8" s="23" t="n"/>
      <c r="P8" s="23" t="inlineStr">
        <is>
          <t>DECHARGE</t>
        </is>
      </c>
      <c r="Q8" s="26" t="inlineStr">
        <is>
          <t>GDIZ</t>
        </is>
      </c>
    </row>
    <row r="9">
      <c r="A9" s="47" t="n">
        <v>46248</v>
      </c>
      <c r="B9" s="1" t="inlineStr">
        <is>
          <t>0005-BC-SHEA/NAP-2026</t>
        </is>
      </c>
      <c r="C9" s="22" t="n">
        <v>1005</v>
      </c>
      <c r="D9" s="1" t="inlineStr">
        <is>
          <t>FRS00001</t>
        </is>
      </c>
      <c r="E9" s="3">
        <f>_xlfn.XLOOKUP(D9,'CODE FRS'!B:B,'CODE FRS'!C:C)</f>
        <v/>
      </c>
      <c r="F9" s="2" t="inlineStr">
        <is>
          <t>CD0085RB/AN4107RB</t>
        </is>
      </c>
      <c r="G9" s="2" t="n">
        <v>34768</v>
      </c>
      <c r="H9" s="4" t="n">
        <v>40720</v>
      </c>
      <c r="I9" s="4" t="n">
        <v>370</v>
      </c>
      <c r="J9" s="4" t="n">
        <v>320</v>
      </c>
      <c r="K9" s="4">
        <f>H9*J9</f>
        <v/>
      </c>
      <c r="L9" s="4" t="n">
        <v>13030400</v>
      </c>
      <c r="M9" s="4">
        <f>K9-L9</f>
        <v/>
      </c>
      <c r="N9" s="2">
        <f t="array" ref="N9">_xlfn.IFNA(_xlfn.IFS(M9=0,"PAYE",K9=M9,"NON PAYE"),"PARTIEL")</f>
        <v/>
      </c>
      <c r="O9" s="23" t="inlineStr">
        <is>
          <t>CHQ-0151-2026</t>
        </is>
      </c>
      <c r="P9" s="23" t="inlineStr">
        <is>
          <t>DECHARGE</t>
        </is>
      </c>
      <c r="Q9" s="26" t="inlineStr">
        <is>
          <t>GDIZ</t>
        </is>
      </c>
    </row>
    <row r="10" ht="28.5" customHeight="1">
      <c r="A10" s="47" t="n">
        <v>46248</v>
      </c>
      <c r="B10" s="25" t="n"/>
      <c r="C10" s="22" t="n">
        <v>1006</v>
      </c>
      <c r="D10" s="1" t="inlineStr">
        <is>
          <t>FRS00021</t>
        </is>
      </c>
      <c r="E10" s="3">
        <f>_xlfn.XLOOKUP(D10,'CODE FRS'!B:B,'CODE FRS'!C:C)</f>
        <v/>
      </c>
      <c r="F10" s="2" t="inlineStr">
        <is>
          <t>CE1927RB/BC7835RB</t>
        </is>
      </c>
      <c r="G10" s="2" t="n">
        <v>34753</v>
      </c>
      <c r="H10" s="4" t="n">
        <v>47500</v>
      </c>
      <c r="I10" s="4" t="n">
        <v>448</v>
      </c>
      <c r="J10" s="4" t="n">
        <v>330</v>
      </c>
      <c r="K10" s="4">
        <f>H10*J10</f>
        <v/>
      </c>
      <c r="L10" s="4">
        <f>7000000+8675000</f>
        <v/>
      </c>
      <c r="M10" s="4">
        <f>K10-L10</f>
        <v/>
      </c>
      <c r="N10" s="2">
        <f t="array" ref="N10">_xlfn.IFNA(_xlfn.IFS(M10=0,"PAYE",K10=M10,"NON PAYE"),"PARTIEL")</f>
        <v/>
      </c>
      <c r="O10" s="23" t="inlineStr">
        <is>
          <t>CHQ-0139-2026 &amp; CHQ-0146-2026</t>
        </is>
      </c>
      <c r="P10" s="23" t="inlineStr">
        <is>
          <t>DECHARGE</t>
        </is>
      </c>
      <c r="Q10" s="26" t="inlineStr">
        <is>
          <t>GDIZ</t>
        </is>
      </c>
    </row>
    <row r="11">
      <c r="A11" s="47" t="n">
        <v>46248</v>
      </c>
      <c r="B11" s="1" t="inlineStr">
        <is>
          <t>0009-BC-SHEA/NAP-2026</t>
        </is>
      </c>
      <c r="C11" s="22" t="n">
        <v>1007</v>
      </c>
      <c r="D11" s="1" t="inlineStr">
        <is>
          <t>FRS00002</t>
        </is>
      </c>
      <c r="E11" s="3">
        <f>_xlfn.XLOOKUP(D11,'CODE FRS'!B:B,'CODE FRS'!C:C)</f>
        <v/>
      </c>
      <c r="F11" s="2" t="inlineStr">
        <is>
          <t>CH7143RB/BU4686RB</t>
        </is>
      </c>
      <c r="G11" s="2" t="n">
        <v>34762</v>
      </c>
      <c r="H11" s="4" t="n">
        <v>50120</v>
      </c>
      <c r="I11" s="4" t="n">
        <v>490</v>
      </c>
      <c r="J11" s="4" t="n">
        <v>330</v>
      </c>
      <c r="K11" s="4">
        <f>H11*J11</f>
        <v/>
      </c>
      <c r="L11" s="4" t="n">
        <v>16539600</v>
      </c>
      <c r="M11" s="4">
        <f>K11-L11</f>
        <v/>
      </c>
      <c r="N11" s="2">
        <f t="array" ref="N11">_xlfn.IFNA(_xlfn.IFS(M11=0,"PAYE",K11=M11,"NON PAYE"),"PARTIEL")</f>
        <v/>
      </c>
      <c r="O11" s="23" t="inlineStr">
        <is>
          <t>CHQ-0133-2026</t>
        </is>
      </c>
      <c r="P11" s="23" t="inlineStr">
        <is>
          <t>DECHARGE</t>
        </is>
      </c>
      <c r="Q11" s="26" t="inlineStr">
        <is>
          <t>GDIZ</t>
        </is>
      </c>
    </row>
    <row r="12">
      <c r="A12" s="47" t="n">
        <v>46249</v>
      </c>
      <c r="B12" s="1" t="inlineStr">
        <is>
          <t>0018-BC-SHEA/NAP-2026</t>
        </is>
      </c>
      <c r="C12" s="22" t="n">
        <v>1008</v>
      </c>
      <c r="D12" s="1" t="inlineStr">
        <is>
          <t>FRS00006</t>
        </is>
      </c>
      <c r="E12" s="3">
        <f>_xlfn.XLOOKUP(D12,'CODE FRS'!B:B,'CODE FRS'!C:C)</f>
        <v/>
      </c>
      <c r="F12" s="2" t="inlineStr">
        <is>
          <t>CA0713RB/BH0362RB</t>
        </is>
      </c>
      <c r="G12" s="2" t="n">
        <v>34786</v>
      </c>
      <c r="H12" s="4" t="n">
        <v>39240</v>
      </c>
      <c r="I12" s="4" t="n">
        <v>367</v>
      </c>
      <c r="J12" s="4" t="n">
        <v>330</v>
      </c>
      <c r="K12" s="4">
        <f>H12*J12</f>
        <v/>
      </c>
      <c r="L12" s="4" t="n">
        <v>12949200</v>
      </c>
      <c r="M12" s="4">
        <f>K12-L12</f>
        <v/>
      </c>
      <c r="N12" s="2">
        <f t="array" ref="N12">_xlfn.IFNA(_xlfn.IFS(M12=0,"PAYE",K12=M12,"NON PAYE"),"PARTIEL")</f>
        <v/>
      </c>
      <c r="O12" s="23" t="inlineStr">
        <is>
          <t>CHQ-0136-2026</t>
        </is>
      </c>
      <c r="P12" s="23" t="inlineStr">
        <is>
          <t>DECHARGE</t>
        </is>
      </c>
      <c r="Q12" s="26" t="inlineStr">
        <is>
          <t>GDIZ</t>
        </is>
      </c>
    </row>
    <row r="13">
      <c r="A13" s="47" t="n">
        <v>46251</v>
      </c>
      <c r="B13" s="1" t="inlineStr">
        <is>
          <t>0021-BC-SHEA/NAP-2026</t>
        </is>
      </c>
      <c r="C13" s="22" t="n">
        <v>1009</v>
      </c>
      <c r="D13" s="1" t="inlineStr">
        <is>
          <t>FRS00001</t>
        </is>
      </c>
      <c r="E13" s="3">
        <f>_xlfn.XLOOKUP(D13,'CODE FRS'!B:B,'CODE FRS'!C:C)</f>
        <v/>
      </c>
      <c r="F13" s="2" t="inlineStr">
        <is>
          <t>CB6228RB/CC4818RB</t>
        </is>
      </c>
      <c r="G13" s="2" t="n">
        <v>34820</v>
      </c>
      <c r="H13" s="4" t="n">
        <v>49640</v>
      </c>
      <c r="I13" s="4" t="n">
        <v>467</v>
      </c>
      <c r="J13" s="4" t="n">
        <v>330</v>
      </c>
      <c r="K13" s="4">
        <f>H13*J13</f>
        <v/>
      </c>
      <c r="L13" s="4" t="n">
        <v>16381200</v>
      </c>
      <c r="M13" s="4">
        <f>K13-L13</f>
        <v/>
      </c>
      <c r="N13" s="2">
        <f t="array" ref="N13">_xlfn.IFNA(_xlfn.IFS(M13=0,"PAYE",K13=M13,"NON PAYE"),"PARTIEL")</f>
        <v/>
      </c>
      <c r="O13" s="23" t="inlineStr">
        <is>
          <t>CHQ-0138-2026</t>
        </is>
      </c>
      <c r="P13" s="23" t="inlineStr">
        <is>
          <t>DECHARGE</t>
        </is>
      </c>
      <c r="Q13" s="26" t="inlineStr">
        <is>
          <t>GDIZ</t>
        </is>
      </c>
    </row>
    <row r="14">
      <c r="A14" s="47" t="n">
        <v>46251</v>
      </c>
      <c r="B14" s="1" t="inlineStr">
        <is>
          <t>0026-BC-SHEA/NAP-2026</t>
        </is>
      </c>
      <c r="C14" s="22" t="n">
        <v>1010</v>
      </c>
      <c r="D14" s="1" t="inlineStr">
        <is>
          <t>FRS00001</t>
        </is>
      </c>
      <c r="E14" s="3">
        <f>_xlfn.XLOOKUP(D14,'CODE FRS'!B:B,'CODE FRS'!C:C)</f>
        <v/>
      </c>
      <c r="F14" s="2" t="inlineStr">
        <is>
          <t>CG9072RB/CC4676RB</t>
        </is>
      </c>
      <c r="G14" s="2" t="n">
        <v>34823</v>
      </c>
      <c r="H14" s="4" t="n">
        <v>30320</v>
      </c>
      <c r="I14" s="4" t="n">
        <v>292</v>
      </c>
      <c r="J14" s="4" t="n">
        <v>330</v>
      </c>
      <c r="K14" s="4">
        <f>H14*J14</f>
        <v/>
      </c>
      <c r="L14" s="4">
        <f>8000000+2005600</f>
        <v/>
      </c>
      <c r="M14" s="4">
        <f>K14-L14</f>
        <v/>
      </c>
      <c r="N14" s="2">
        <f t="array" ref="N14">_xlfn.IFNA(_xlfn.IFS(M14=0,"PAYE",K14=M14,"NON PAYE"),"PARTIEL")</f>
        <v/>
      </c>
      <c r="O14" s="23" t="inlineStr">
        <is>
          <t>CHQ-0151-2026</t>
        </is>
      </c>
      <c r="P14" s="23" t="inlineStr">
        <is>
          <t>DECHARGE</t>
        </is>
      </c>
      <c r="Q14" s="26" t="inlineStr">
        <is>
          <t>GDIZ</t>
        </is>
      </c>
    </row>
    <row r="15">
      <c r="A15" s="47" t="n">
        <v>46251</v>
      </c>
      <c r="B15" s="1" t="inlineStr">
        <is>
          <t>0011-BC-SHEA/NAP-2026</t>
        </is>
      </c>
      <c r="C15" s="22" t="n">
        <v>1011</v>
      </c>
      <c r="D15" s="1" t="inlineStr">
        <is>
          <t>FRS00002</t>
        </is>
      </c>
      <c r="E15" s="3">
        <f>_xlfn.XLOOKUP(D15,'CODE FRS'!B:B,'CODE FRS'!C:C)</f>
        <v/>
      </c>
      <c r="F15" s="2" t="inlineStr">
        <is>
          <t>BZ6773RB/AN0814RB</t>
        </is>
      </c>
      <c r="G15" s="2" t="n">
        <v>34816</v>
      </c>
      <c r="H15" s="4" t="n">
        <v>47140</v>
      </c>
      <c r="I15" s="4" t="n">
        <v>495</v>
      </c>
      <c r="J15" s="4" t="n">
        <v>330</v>
      </c>
      <c r="K15" s="4">
        <f>H15*J15</f>
        <v/>
      </c>
      <c r="L15" s="4" t="n">
        <v>0</v>
      </c>
      <c r="M15" s="4">
        <f>K15-L15</f>
        <v/>
      </c>
      <c r="N15" s="2">
        <f t="array" ref="N15">_xlfn.IFNA(_xlfn.IFS(M15=0,"PAYE",K15=M15,"NON PAYE"),"PARTIEL")</f>
        <v/>
      </c>
      <c r="O15" s="23" t="n"/>
      <c r="P15" s="23" t="inlineStr">
        <is>
          <t>DECHARGE</t>
        </is>
      </c>
      <c r="Q15" s="26" t="inlineStr">
        <is>
          <t>GDIZ</t>
        </is>
      </c>
    </row>
    <row r="16">
      <c r="A16" s="47" t="n">
        <v>46251</v>
      </c>
      <c r="B16" s="1" t="inlineStr">
        <is>
          <t>0015-BC-SHEA/NAP-2026</t>
        </is>
      </c>
      <c r="C16" s="22" t="n">
        <v>1012</v>
      </c>
      <c r="D16" s="1" t="inlineStr">
        <is>
          <t>FRS00005</t>
        </is>
      </c>
      <c r="E16" s="3">
        <f>_xlfn.XLOOKUP(D16,'CODE FRS'!B:B,'CODE FRS'!C:C)</f>
        <v/>
      </c>
      <c r="F16" s="2" t="inlineStr">
        <is>
          <t>AZ4227RB/AE4983RB</t>
        </is>
      </c>
      <c r="G16" s="2" t="n">
        <v>34817</v>
      </c>
      <c r="H16" s="4" t="n">
        <v>46060</v>
      </c>
      <c r="I16" s="4" t="n">
        <v>470</v>
      </c>
      <c r="J16" s="4" t="n">
        <v>330</v>
      </c>
      <c r="K16" s="4">
        <f>H16*J16</f>
        <v/>
      </c>
      <c r="L16" s="4" t="n">
        <v>15199800</v>
      </c>
      <c r="M16" s="4">
        <f>K16-L16</f>
        <v/>
      </c>
      <c r="N16" s="2">
        <f t="array" ref="N16">_xlfn.IFNA(_xlfn.IFS(M16=0,"PAYE",K16=M16,"NON PAYE"),"PARTIEL")</f>
        <v/>
      </c>
      <c r="O16" s="23" t="inlineStr">
        <is>
          <t>CHQ-0158-2026</t>
        </is>
      </c>
      <c r="P16" s="23" t="inlineStr">
        <is>
          <t>DECHARGE</t>
        </is>
      </c>
      <c r="Q16" s="26" t="inlineStr">
        <is>
          <t>GDIZ</t>
        </is>
      </c>
    </row>
    <row r="17">
      <c r="A17" s="47" t="n">
        <v>46252</v>
      </c>
      <c r="B17" s="1" t="inlineStr">
        <is>
          <t>0048-BC-SHEA/NAP-2026</t>
        </is>
      </c>
      <c r="C17" s="22" t="n">
        <v>1013</v>
      </c>
      <c r="D17" s="1" t="inlineStr">
        <is>
          <t>FRS00001</t>
        </is>
      </c>
      <c r="E17" s="3">
        <f>_xlfn.XLOOKUP(D17,'CODE FRS'!B:B,'CODE FRS'!C:C)</f>
        <v/>
      </c>
      <c r="F17" s="2" t="inlineStr">
        <is>
          <t>CE6019RB/CE6020RB</t>
        </is>
      </c>
      <c r="G17" s="2" t="n">
        <v>34861</v>
      </c>
      <c r="H17" s="4" t="n">
        <v>47340</v>
      </c>
      <c r="I17" s="4" t="n">
        <v>442</v>
      </c>
      <c r="J17" s="4" t="n">
        <v>330</v>
      </c>
      <c r="K17" s="4">
        <f>H17*J17</f>
        <v/>
      </c>
      <c r="L17" s="4" t="n">
        <v>15622200</v>
      </c>
      <c r="M17" s="4">
        <f>K17-L17</f>
        <v/>
      </c>
      <c r="N17" s="2">
        <f t="array" ref="N17">_xlfn.IFNA(_xlfn.IFS(M17=0,"PAYE",K17=M17,"NON PAYE"),"PARTIEL")</f>
        <v/>
      </c>
      <c r="O17" s="23" t="inlineStr">
        <is>
          <t>CHQ-0144-2026</t>
        </is>
      </c>
      <c r="P17" s="23" t="inlineStr">
        <is>
          <t>DECHARGE</t>
        </is>
      </c>
      <c r="Q17" s="26" t="inlineStr">
        <is>
          <t>GDIZ</t>
        </is>
      </c>
    </row>
    <row r="18">
      <c r="A18" s="47" t="n">
        <v>46252</v>
      </c>
      <c r="B18" s="25" t="n"/>
      <c r="C18" s="22" t="n">
        <v>1014</v>
      </c>
      <c r="D18" s="1" t="inlineStr">
        <is>
          <t>FRS00006</t>
        </is>
      </c>
      <c r="E18" s="3">
        <f>_xlfn.XLOOKUP(D18,'CODE FRS'!B:B,'CODE FRS'!C:C)</f>
        <v/>
      </c>
      <c r="F18" s="2" t="inlineStr">
        <is>
          <t>CB5092RB/AG6029RB</t>
        </is>
      </c>
      <c r="G18" s="2" t="n">
        <v>34848</v>
      </c>
      <c r="H18" s="4" t="n">
        <v>43820</v>
      </c>
      <c r="I18" s="4" t="n">
        <v>408</v>
      </c>
      <c r="J18" s="4" t="n">
        <v>330</v>
      </c>
      <c r="K18" s="4">
        <f>H18*J18</f>
        <v/>
      </c>
      <c r="L18" s="4" t="n">
        <v>14460600</v>
      </c>
      <c r="M18" s="4">
        <f>K18-L18</f>
        <v/>
      </c>
      <c r="N18" s="2">
        <f t="array" ref="N18">_xlfn.IFNA(_xlfn.IFS(M18=0,"PAYE",K18=M18,"NON PAYE"),"PARTIEL")</f>
        <v/>
      </c>
      <c r="O18" s="23" t="inlineStr">
        <is>
          <t>CHQ-0147-2026</t>
        </is>
      </c>
      <c r="P18" s="23" t="inlineStr">
        <is>
          <t>DECHARGE</t>
        </is>
      </c>
      <c r="Q18" s="26" t="inlineStr">
        <is>
          <t>GDIZ</t>
        </is>
      </c>
    </row>
    <row r="19">
      <c r="A19" s="47" t="n">
        <v>46252</v>
      </c>
      <c r="B19" s="1" t="inlineStr">
        <is>
          <t>0017-BC-SHEA/NAP-2026</t>
        </is>
      </c>
      <c r="C19" s="22" t="n">
        <v>1015</v>
      </c>
      <c r="D19" s="1" t="inlineStr">
        <is>
          <t>FRS00006</t>
        </is>
      </c>
      <c r="E19" s="3">
        <f>_xlfn.XLOOKUP(D19,'CODE FRS'!B:B,'CODE FRS'!C:C)</f>
        <v/>
      </c>
      <c r="F19" s="2" t="inlineStr">
        <is>
          <t>BN9320RB/BC1254RB</t>
        </is>
      </c>
      <c r="G19" s="2" t="n">
        <v>34849</v>
      </c>
      <c r="H19" s="4" t="n">
        <v>40020</v>
      </c>
      <c r="I19" s="4" t="n">
        <v>392</v>
      </c>
      <c r="J19" s="4" t="n">
        <v>330</v>
      </c>
      <c r="K19" s="4">
        <f>H19*J19</f>
        <v/>
      </c>
      <c r="L19" s="4" t="n">
        <v>13206600</v>
      </c>
      <c r="M19" s="4">
        <f>K19-L19</f>
        <v/>
      </c>
      <c r="N19" s="2">
        <f t="array" ref="N19">_xlfn.IFNA(_xlfn.IFS(M19=0,"PAYE",K19=M19,"NON PAYE"),"PARTIEL")</f>
        <v/>
      </c>
      <c r="O19" s="23" t="inlineStr">
        <is>
          <t>CHQ-0152-2026</t>
        </is>
      </c>
      <c r="P19" s="23" t="inlineStr">
        <is>
          <t>DECHARGE</t>
        </is>
      </c>
      <c r="Q19" s="26" t="inlineStr">
        <is>
          <t>GDIZ</t>
        </is>
      </c>
    </row>
    <row r="20">
      <c r="A20" s="47" t="n">
        <v>46252</v>
      </c>
      <c r="B20" s="25" t="n"/>
      <c r="C20" s="22" t="n">
        <v>1016</v>
      </c>
      <c r="D20" s="1" t="inlineStr">
        <is>
          <t>FRS00006</t>
        </is>
      </c>
      <c r="E20" s="3">
        <f>_xlfn.XLOOKUP(D20,'CODE FRS'!B:B,'CODE FRS'!C:C)</f>
        <v/>
      </c>
      <c r="F20" s="2" t="inlineStr">
        <is>
          <t>CC8393RB/CC8391RB</t>
        </is>
      </c>
      <c r="G20" s="2" t="n">
        <v>34847</v>
      </c>
      <c r="H20" s="4" t="n">
        <v>45460</v>
      </c>
      <c r="I20" s="4" t="n">
        <v>436</v>
      </c>
      <c r="J20" s="4" t="n">
        <v>330</v>
      </c>
      <c r="K20" s="4">
        <f>H20*J20</f>
        <v/>
      </c>
      <c r="L20" s="4" t="n">
        <v>15001800</v>
      </c>
      <c r="M20" s="4">
        <f>K20-L20</f>
        <v/>
      </c>
      <c r="N20" s="2">
        <f t="array" ref="N20">_xlfn.IFNA(_xlfn.IFS(M20=0,"PAYE",K20=M20,"NON PAYE"),"PARTIEL")</f>
        <v/>
      </c>
      <c r="O20" s="23" t="inlineStr">
        <is>
          <t>CHQ-0145-2026</t>
        </is>
      </c>
      <c r="P20" s="23" t="inlineStr">
        <is>
          <t>DECHARGE</t>
        </is>
      </c>
      <c r="Q20" s="26" t="inlineStr">
        <is>
          <t>GDIZ</t>
        </is>
      </c>
    </row>
    <row r="21">
      <c r="A21" s="47" t="n">
        <v>46253</v>
      </c>
      <c r="B21" s="1" t="inlineStr">
        <is>
          <t>0039-BC-SHEA/NAP-2026</t>
        </is>
      </c>
      <c r="C21" s="22" t="n">
        <v>1017</v>
      </c>
      <c r="D21" s="1" t="inlineStr">
        <is>
          <t>FRS00017</t>
        </is>
      </c>
      <c r="E21" s="3">
        <f>_xlfn.XLOOKUP(D21,'CODE FRS'!B:B,'CODE FRS'!C:C)</f>
        <v/>
      </c>
      <c r="F21" s="2" t="inlineStr">
        <is>
          <t>CB2032RB/CB1943RB</t>
        </is>
      </c>
      <c r="G21" s="2" t="n">
        <v>34870</v>
      </c>
      <c r="H21" s="4" t="n">
        <v>31360</v>
      </c>
      <c r="I21" s="4" t="n">
        <v>290</v>
      </c>
      <c r="J21" s="4" t="n">
        <v>332</v>
      </c>
      <c r="K21" s="4">
        <f>H21*J21</f>
        <v/>
      </c>
      <c r="L21" s="4" t="n">
        <v>10411520</v>
      </c>
      <c r="M21" s="4">
        <f>K21-L21</f>
        <v/>
      </c>
      <c r="N21" s="2">
        <f t="array" ref="N21">_xlfn.IFNA(_xlfn.IFS(M21=0,"PAYE",K21=M21,"NON PAYE"),"PARTIEL")</f>
        <v/>
      </c>
      <c r="O21" s="23" t="inlineStr">
        <is>
          <t>CHQ-0149-2026</t>
        </is>
      </c>
      <c r="P21" s="23" t="inlineStr">
        <is>
          <t>DECHARGE</t>
        </is>
      </c>
      <c r="Q21" s="26" t="inlineStr">
        <is>
          <t>GDIZ</t>
        </is>
      </c>
    </row>
    <row r="22">
      <c r="A22" s="47" t="n">
        <v>46253</v>
      </c>
      <c r="B22" s="25" t="n"/>
      <c r="C22" s="22" t="n">
        <v>1018</v>
      </c>
      <c r="D22" s="1" t="inlineStr">
        <is>
          <t>FRS00024</t>
        </is>
      </c>
      <c r="E22" s="3">
        <f>_xlfn.XLOOKUP(D22,'CODE FRS'!B:B,'CODE FRS'!C:C)</f>
        <v/>
      </c>
      <c r="F22" s="2" t="inlineStr">
        <is>
          <t>CG9846RB/CG9873RB</t>
        </is>
      </c>
      <c r="G22" s="2" t="n">
        <v>34868</v>
      </c>
      <c r="H22" s="4" t="n">
        <v>31960</v>
      </c>
      <c r="I22" s="4" t="n">
        <v>332</v>
      </c>
      <c r="J22" s="4" t="n">
        <v>330</v>
      </c>
      <c r="K22" s="4">
        <f>H22*J22</f>
        <v/>
      </c>
      <c r="L22" s="4" t="n">
        <v>10546800</v>
      </c>
      <c r="M22" s="4">
        <f>K22-L22</f>
        <v/>
      </c>
      <c r="N22" s="2">
        <f t="array" ref="N22">_xlfn.IFNA(_xlfn.IFS(M22=0,"PAYE",K22=M22,"NON PAYE"),"PARTIEL")</f>
        <v/>
      </c>
      <c r="O22" s="23" t="inlineStr">
        <is>
          <t>CHQ-0150-2026</t>
        </is>
      </c>
      <c r="P22" s="23" t="inlineStr">
        <is>
          <t>DECHARGE</t>
        </is>
      </c>
      <c r="Q22" s="26" t="inlineStr">
        <is>
          <t>GDIZ</t>
        </is>
      </c>
    </row>
    <row r="23">
      <c r="A23" s="47" t="n">
        <v>46254</v>
      </c>
      <c r="B23" s="1" t="inlineStr">
        <is>
          <t>0041-BC-SHEA/NAP-2026</t>
        </is>
      </c>
      <c r="C23" s="22" t="n">
        <v>1019</v>
      </c>
      <c r="D23" s="1" t="inlineStr">
        <is>
          <t>FRS00003</t>
        </is>
      </c>
      <c r="E23" s="3">
        <f>_xlfn.XLOOKUP(D23,'CODE FRS'!B:B,'CODE FRS'!C:C)</f>
        <v/>
      </c>
      <c r="F23" s="2" t="inlineStr">
        <is>
          <t>BP4509RB/AV2192RB</t>
        </is>
      </c>
      <c r="G23" s="2" t="n">
        <v>34908</v>
      </c>
      <c r="H23" s="4" t="n">
        <v>48600</v>
      </c>
      <c r="I23" s="4" t="n">
        <v>461</v>
      </c>
      <c r="J23" s="4" t="n">
        <v>340</v>
      </c>
      <c r="K23" s="4">
        <f>H23*J23</f>
        <v/>
      </c>
      <c r="L23" s="4" t="n">
        <v>16524000</v>
      </c>
      <c r="M23" s="4">
        <f>K23-L23</f>
        <v/>
      </c>
      <c r="N23" s="2">
        <f t="array" ref="N23">_xlfn.IFNA(_xlfn.IFS(M23=0,"PAYE",K23=M23,"NON PAYE"),"PARTIEL")</f>
        <v/>
      </c>
      <c r="O23" s="23" t="inlineStr">
        <is>
          <t>CHQ-0156-2026</t>
        </is>
      </c>
      <c r="P23" s="23" t="inlineStr">
        <is>
          <t>DECHARGE</t>
        </is>
      </c>
      <c r="Q23" s="26" t="inlineStr">
        <is>
          <t>GDIZ</t>
        </is>
      </c>
    </row>
    <row r="24">
      <c r="A24" s="47" t="n">
        <v>46254</v>
      </c>
      <c r="B24" s="1" t="inlineStr">
        <is>
          <t>0043-BC-SHEA/NAP-2026</t>
        </is>
      </c>
      <c r="C24" s="22" t="n">
        <v>1020</v>
      </c>
      <c r="D24" s="1" t="inlineStr">
        <is>
          <t>FRS00003</t>
        </is>
      </c>
      <c r="E24" s="3">
        <f>_xlfn.XLOOKUP(D24,'CODE FRS'!B:B,'CODE FRS'!C:C)</f>
        <v/>
      </c>
      <c r="F24" s="2" t="inlineStr">
        <is>
          <t>BY1669RB/BY1665RB</t>
        </is>
      </c>
      <c r="G24" s="2" t="n">
        <v>34928</v>
      </c>
      <c r="H24" s="4" t="n">
        <v>44560</v>
      </c>
      <c r="I24" s="4" t="n">
        <v>430</v>
      </c>
      <c r="J24" s="4" t="n">
        <v>335</v>
      </c>
      <c r="K24" s="4">
        <f>H24*J24</f>
        <v/>
      </c>
      <c r="L24" s="4" t="n">
        <v>14927600</v>
      </c>
      <c r="M24" s="4">
        <f>K24-L24</f>
        <v/>
      </c>
      <c r="N24" s="2">
        <f t="array" ref="N24">_xlfn.IFNA(_xlfn.IFS(M24=0,"PAYE",K24=M24,"NON PAYE"),"PARTIEL")</f>
        <v/>
      </c>
      <c r="O24" s="23" t="inlineStr">
        <is>
          <t>CHQ-0156-2026</t>
        </is>
      </c>
      <c r="P24" s="23" t="inlineStr">
        <is>
          <t>DECHARGE</t>
        </is>
      </c>
      <c r="Q24" s="26" t="inlineStr">
        <is>
          <t>GDIZ</t>
        </is>
      </c>
    </row>
    <row r="25" ht="18" customHeight="1">
      <c r="A25" s="47" t="n">
        <v>46254</v>
      </c>
      <c r="B25" s="1" t="inlineStr">
        <is>
          <t>0022-BC-SHEA/NAP-2026</t>
        </is>
      </c>
      <c r="C25" s="22" t="n">
        <v>1021</v>
      </c>
      <c r="D25" s="1" t="inlineStr">
        <is>
          <t>FRS00009</t>
        </is>
      </c>
      <c r="E25" s="3">
        <f>_xlfn.XLOOKUP(D25,'CODE FRS'!B:B,'CODE FRS'!C:C)</f>
        <v/>
      </c>
      <c r="F25" s="2" t="inlineStr">
        <is>
          <t>BB9793RB/BD3472RB</t>
        </is>
      </c>
      <c r="G25" s="2" t="n">
        <v>34913</v>
      </c>
      <c r="H25" s="4" t="n">
        <v>34980</v>
      </c>
      <c r="I25" s="4" t="n">
        <v>405</v>
      </c>
      <c r="J25" s="4" t="n">
        <v>330</v>
      </c>
      <c r="K25" s="4">
        <f>H25*J25</f>
        <v/>
      </c>
      <c r="L25" s="4">
        <f>200000+11343400</f>
        <v/>
      </c>
      <c r="M25" s="4">
        <f>K25-L25</f>
        <v/>
      </c>
      <c r="N25" s="2">
        <f t="array" ref="N25">_xlfn.IFNA(_xlfn.IFS(M25=0,"PAYE",K25=M25,"NON PAYE"),"PARTIEL")</f>
        <v/>
      </c>
      <c r="O25" s="23" t="inlineStr">
        <is>
          <t>CC-0071-2026 &amp; CHQ-0153-2026</t>
        </is>
      </c>
      <c r="P25" s="23" t="inlineStr">
        <is>
          <t>DECHARGE</t>
        </is>
      </c>
      <c r="Q25" s="26" t="inlineStr">
        <is>
          <t>GDIZ</t>
        </is>
      </c>
    </row>
    <row r="26">
      <c r="A26" s="47" t="n">
        <v>46255</v>
      </c>
      <c r="B26" s="1" t="inlineStr">
        <is>
          <t>0045-BC-SHEA/NAP-2026</t>
        </is>
      </c>
      <c r="C26" s="22" t="n">
        <v>1022</v>
      </c>
      <c r="D26" s="1" t="inlineStr">
        <is>
          <t>FRS00011</t>
        </is>
      </c>
      <c r="E26" s="3">
        <f>_xlfn.XLOOKUP(D26,'CODE FRS'!B:B,'CODE FRS'!C:C)</f>
        <v/>
      </c>
      <c r="F26" s="2" t="inlineStr">
        <is>
          <t>CL0201RB/CJ8154RB</t>
        </is>
      </c>
      <c r="G26" s="2" t="n">
        <v>34972</v>
      </c>
      <c r="H26" s="4" t="n">
        <v>45400</v>
      </c>
      <c r="I26" s="4" t="n">
        <v>420</v>
      </c>
      <c r="J26" s="4" t="n">
        <v>330</v>
      </c>
      <c r="K26" s="4">
        <f>H26*J26</f>
        <v/>
      </c>
      <c r="L26" s="4" t="n">
        <v>14982000</v>
      </c>
      <c r="M26" s="4">
        <f>K26-L26</f>
        <v/>
      </c>
      <c r="N26" s="2">
        <f t="array" ref="N26">_xlfn.IFNA(_xlfn.IFS(M26=0,"PAYE",K26=M26,"NON PAYE"),"PARTIEL")</f>
        <v/>
      </c>
      <c r="O26" s="23" t="inlineStr">
        <is>
          <t>CHQ-0160-2026</t>
        </is>
      </c>
      <c r="P26" s="23" t="inlineStr">
        <is>
          <t>DECHARGE</t>
        </is>
      </c>
      <c r="Q26" s="26" t="inlineStr">
        <is>
          <t>GDIZ</t>
        </is>
      </c>
    </row>
    <row r="27">
      <c r="A27" s="47" t="n">
        <v>46255</v>
      </c>
      <c r="B27" s="1" t="inlineStr">
        <is>
          <t>0049-BC-SHEA/NAP-2026</t>
        </is>
      </c>
      <c r="C27" s="22" t="n">
        <v>1023</v>
      </c>
      <c r="D27" s="1" t="inlineStr">
        <is>
          <t>FRS00004</t>
        </is>
      </c>
      <c r="E27" s="3">
        <f>_xlfn.XLOOKUP(D27,'CODE FRS'!B:B,'CODE FRS'!C:C)</f>
        <v/>
      </c>
      <c r="F27" s="2" t="inlineStr">
        <is>
          <t>CB6790RB/BT1547RB</t>
        </is>
      </c>
      <c r="G27" s="2" t="n">
        <v>34964</v>
      </c>
      <c r="H27" s="4" t="n">
        <v>46160</v>
      </c>
      <c r="I27" s="4" t="n">
        <v>484</v>
      </c>
      <c r="J27" s="4" t="n">
        <v>330</v>
      </c>
      <c r="K27" s="4">
        <f>H27*J27</f>
        <v/>
      </c>
      <c r="L27" s="4" t="n">
        <v>15232800</v>
      </c>
      <c r="M27" s="4">
        <f>K27-L27</f>
        <v/>
      </c>
      <c r="N27" s="2">
        <f t="array" ref="N27">_xlfn.IFNA(_xlfn.IFS(M27=0,"PAYE",K27=M27,"NON PAYE"),"PARTIEL")</f>
        <v/>
      </c>
      <c r="O27" s="23" t="inlineStr">
        <is>
          <t>CHQ-0201-2026</t>
        </is>
      </c>
      <c r="P27" s="23" t="inlineStr">
        <is>
          <t>DECHARGE</t>
        </is>
      </c>
      <c r="Q27" s="26" t="inlineStr">
        <is>
          <t>GDIZ</t>
        </is>
      </c>
    </row>
    <row r="28">
      <c r="A28" s="47" t="n">
        <v>46255</v>
      </c>
      <c r="B28" s="1" t="inlineStr">
        <is>
          <t>0033-BC-SHEA/NAP-2026</t>
        </is>
      </c>
      <c r="C28" s="22" t="n">
        <v>1024</v>
      </c>
      <c r="D28" s="1" t="inlineStr">
        <is>
          <t>FRS00016</t>
        </is>
      </c>
      <c r="E28" s="3">
        <f>_xlfn.XLOOKUP(D28,'CODE FRS'!B:B,'CODE FRS'!C:C)</f>
        <v/>
      </c>
      <c r="F28" s="2" t="inlineStr">
        <is>
          <t>AP7150RB/AL0466RB</t>
        </is>
      </c>
      <c r="G28" s="2" t="n">
        <v>34989</v>
      </c>
      <c r="H28" s="4" t="n">
        <v>33980</v>
      </c>
      <c r="I28" s="4" t="n">
        <v>336</v>
      </c>
      <c r="J28" s="4" t="n">
        <v>340</v>
      </c>
      <c r="K28" s="4">
        <f>H28*J28</f>
        <v/>
      </c>
      <c r="L28" s="4">
        <f>5000000+6553200</f>
        <v/>
      </c>
      <c r="M28" s="4">
        <f>K28-L28</f>
        <v/>
      </c>
      <c r="N28" s="2">
        <f t="array" ref="N28">_xlfn.IFNA(_xlfn.IFS(M28=0,"PAYE",K28=M28,"NON PAYE"),"PARTIEL")</f>
        <v/>
      </c>
      <c r="O28" s="23" t="inlineStr">
        <is>
          <t>CC-0075-2026 &amp; CHQ-0159-2026</t>
        </is>
      </c>
      <c r="P28" s="23" t="inlineStr">
        <is>
          <t>DECHARGE</t>
        </is>
      </c>
      <c r="Q28" s="26" t="inlineStr">
        <is>
          <t>GDIZ</t>
        </is>
      </c>
    </row>
    <row r="29">
      <c r="A29" s="47" t="n">
        <v>46256</v>
      </c>
      <c r="B29" s="1" t="inlineStr">
        <is>
          <t>0051-BC-SHEA/NAP-2026</t>
        </is>
      </c>
      <c r="C29" s="22" t="n">
        <v>1025</v>
      </c>
      <c r="D29" s="1" t="inlineStr">
        <is>
          <t>FRS00001</t>
        </is>
      </c>
      <c r="E29" s="3">
        <f>_xlfn.XLOOKUP(D29,'CODE FRS'!B:B,'CODE FRS'!C:C)</f>
        <v/>
      </c>
      <c r="F29" s="2" t="inlineStr">
        <is>
          <t>BY5570RB/BH1863RB</t>
        </is>
      </c>
      <c r="G29" s="2" t="n">
        <v>34995</v>
      </c>
      <c r="H29" s="4" t="n">
        <v>44400</v>
      </c>
      <c r="I29" s="4" t="n">
        <v>420</v>
      </c>
      <c r="J29" s="4" t="n">
        <v>335</v>
      </c>
      <c r="K29" s="4">
        <f>H29*J29</f>
        <v/>
      </c>
      <c r="L29" s="4" t="n">
        <v>14874000</v>
      </c>
      <c r="M29" s="4">
        <f>K29-L29</f>
        <v/>
      </c>
      <c r="N29" s="2">
        <f t="array" ref="N29">_xlfn.IFNA(_xlfn.IFS(M29=0,"PAYE",K29=M29,"NON PAYE"),"PARTIEL")</f>
        <v/>
      </c>
      <c r="O29" s="23" t="inlineStr">
        <is>
          <t>CHQ-0165-2026</t>
        </is>
      </c>
      <c r="P29" s="23" t="inlineStr">
        <is>
          <t>DECHARGE</t>
        </is>
      </c>
      <c r="Q29" s="26" t="inlineStr">
        <is>
          <t>GDIZ</t>
        </is>
      </c>
    </row>
    <row r="30">
      <c r="A30" s="47" t="n">
        <v>46256</v>
      </c>
      <c r="B30" s="1" t="inlineStr">
        <is>
          <t>0052-BC-SHEA/NAP-2026</t>
        </is>
      </c>
      <c r="C30" s="22" t="n">
        <v>1026</v>
      </c>
      <c r="D30" s="1" t="inlineStr">
        <is>
          <t>FRS00019</t>
        </is>
      </c>
      <c r="E30" s="3">
        <f>_xlfn.XLOOKUP(D30,'CODE FRS'!B:B,'CODE FRS'!C:C)</f>
        <v/>
      </c>
      <c r="F30" s="2" t="inlineStr">
        <is>
          <t>BY6831RB/BC1375RB</t>
        </is>
      </c>
      <c r="G30" s="2" t="n">
        <v>34996</v>
      </c>
      <c r="H30" s="4" t="n">
        <v>49360</v>
      </c>
      <c r="I30" s="4" t="n">
        <v>460</v>
      </c>
      <c r="J30" s="4" t="n">
        <v>330</v>
      </c>
      <c r="K30" s="4">
        <f>H30*J30</f>
        <v/>
      </c>
      <c r="L30" s="4" t="n">
        <v>16288800</v>
      </c>
      <c r="M30" s="4">
        <f>K30-L30</f>
        <v/>
      </c>
      <c r="N30" s="2">
        <f t="array" ref="N30">_xlfn.IFNA(_xlfn.IFS(M30=0,"PAYE",K30=M30,"NON PAYE"),"PARTIEL")</f>
        <v/>
      </c>
      <c r="O30" s="23" t="inlineStr">
        <is>
          <t>CHQ-0176-2026</t>
        </is>
      </c>
      <c r="P30" s="23" t="inlineStr">
        <is>
          <t>DECHARGE</t>
        </is>
      </c>
      <c r="Q30" s="26" t="inlineStr">
        <is>
          <t>GDIZ</t>
        </is>
      </c>
    </row>
    <row r="31">
      <c r="A31" s="47" t="n">
        <v>46258</v>
      </c>
      <c r="B31" s="1" t="inlineStr">
        <is>
          <t>0058-BC-SHEA/NAP-2026</t>
        </is>
      </c>
      <c r="C31" s="22" t="n">
        <v>1027</v>
      </c>
      <c r="D31" s="1" t="inlineStr">
        <is>
          <t>FRS00021</t>
        </is>
      </c>
      <c r="E31" s="3">
        <f>_xlfn.XLOOKUP(D31,'CODE FRS'!B:B,'CODE FRS'!C:C)</f>
        <v/>
      </c>
      <c r="F31" s="2" t="inlineStr">
        <is>
          <t>CH2008RB/BA5975RB</t>
        </is>
      </c>
      <c r="G31" s="2" t="n">
        <v>35009</v>
      </c>
      <c r="H31" s="4" t="n">
        <v>44520</v>
      </c>
      <c r="I31" s="4" t="n">
        <v>437</v>
      </c>
      <c r="J31" s="4" t="n">
        <v>330</v>
      </c>
      <c r="K31" s="4">
        <f>H31*J31</f>
        <v/>
      </c>
      <c r="L31" s="4" t="n">
        <v>14691600</v>
      </c>
      <c r="M31" s="4">
        <f>K31-L31</f>
        <v/>
      </c>
      <c r="N31" s="2">
        <f t="array" ref="N31">_xlfn.IFNA(_xlfn.IFS(M31=0,"PAYE",K31=M31,"NON PAYE"),"PARTIEL")</f>
        <v/>
      </c>
      <c r="O31" s="23" t="inlineStr">
        <is>
          <t>CHQ-0173-2026</t>
        </is>
      </c>
      <c r="P31" s="23" t="inlineStr">
        <is>
          <t>DECHARGE</t>
        </is>
      </c>
      <c r="Q31" s="26" t="inlineStr">
        <is>
          <t>GDIZ</t>
        </is>
      </c>
    </row>
    <row r="32">
      <c r="A32" s="47" t="n">
        <v>46258</v>
      </c>
      <c r="B32" s="1" t="inlineStr">
        <is>
          <t>0032-BC-SHEA/NAP-2026</t>
        </is>
      </c>
      <c r="C32" s="22" t="n">
        <v>1028</v>
      </c>
      <c r="D32" s="1" t="inlineStr">
        <is>
          <t>FRS00015</t>
        </is>
      </c>
      <c r="E32" s="3">
        <f>_xlfn.XLOOKUP(D32,'CODE FRS'!B:B,'CODE FRS'!C:C)</f>
        <v/>
      </c>
      <c r="F32" s="2" t="inlineStr">
        <is>
          <t>AY3969RB/AD0138RB</t>
        </is>
      </c>
      <c r="G32" s="2" t="n">
        <v>35014</v>
      </c>
      <c r="H32" s="4" t="n">
        <v>39620</v>
      </c>
      <c r="I32" s="4" t="n">
        <v>454</v>
      </c>
      <c r="J32" s="4" t="n">
        <v>335</v>
      </c>
      <c r="K32" s="4">
        <f>H32*J32</f>
        <v/>
      </c>
      <c r="L32" s="4">
        <f>9000000+4272700</f>
        <v/>
      </c>
      <c r="M32" s="4">
        <f>K32-L32</f>
        <v/>
      </c>
      <c r="N32" s="2">
        <f t="array" ref="N32">_xlfn.IFNA(_xlfn.IFS(M32=0,"PAYE",K32=M32,"NON PAYE"),"PARTIEL")</f>
        <v/>
      </c>
      <c r="O32" s="23" t="inlineStr">
        <is>
          <t>CHQ-0162-2026 &amp; CHQ-0168-2026</t>
        </is>
      </c>
      <c r="P32" s="23" t="inlineStr">
        <is>
          <t>DECHARGE</t>
        </is>
      </c>
      <c r="Q32" s="26" t="inlineStr">
        <is>
          <t>GDIZ</t>
        </is>
      </c>
    </row>
    <row r="33">
      <c r="A33" s="47" t="n">
        <v>46258</v>
      </c>
      <c r="B33" s="1" t="inlineStr">
        <is>
          <t>0063-BC-SHEA/NAP-2026</t>
        </is>
      </c>
      <c r="C33" s="22" t="n">
        <v>1029</v>
      </c>
      <c r="D33" s="1" t="inlineStr">
        <is>
          <t>FRS00022</t>
        </is>
      </c>
      <c r="E33" s="3">
        <f>_xlfn.XLOOKUP(D33,'CODE FRS'!B:B,'CODE FRS'!C:C)</f>
        <v/>
      </c>
      <c r="F33" s="2" t="inlineStr">
        <is>
          <t>BP5945RB/BY8609RB</t>
        </is>
      </c>
      <c r="G33" s="2" t="n">
        <v>35033</v>
      </c>
      <c r="H33" s="4" t="n">
        <v>33740</v>
      </c>
      <c r="I33" s="4" t="n">
        <v>301</v>
      </c>
      <c r="J33" s="4" t="n">
        <v>335</v>
      </c>
      <c r="K33" s="4">
        <f>H33*J33</f>
        <v/>
      </c>
      <c r="L33" s="4" t="n">
        <v>11302900</v>
      </c>
      <c r="M33" s="4">
        <f>K33-L33</f>
        <v/>
      </c>
      <c r="N33" s="2">
        <f t="array" ref="N33">_xlfn.IFNA(_xlfn.IFS(M33=0,"PAYE",K33=M33,"NON PAYE"),"PARTIEL")</f>
        <v/>
      </c>
      <c r="O33" s="23" t="inlineStr">
        <is>
          <t>CHQ-0175-2026</t>
        </is>
      </c>
      <c r="P33" s="23" t="inlineStr">
        <is>
          <t>DECHARGE</t>
        </is>
      </c>
      <c r="Q33" s="26" t="inlineStr">
        <is>
          <t>GDIZ</t>
        </is>
      </c>
    </row>
    <row r="34">
      <c r="A34" s="47" t="n">
        <v>46258</v>
      </c>
      <c r="B34" s="1" t="inlineStr">
        <is>
          <t>0070-BC-SHEA/NAP-2026</t>
        </is>
      </c>
      <c r="C34" s="22" t="n">
        <v>1030</v>
      </c>
      <c r="D34" s="1" t="inlineStr">
        <is>
          <t>FRS00016</t>
        </is>
      </c>
      <c r="E34" s="3">
        <f>_xlfn.XLOOKUP(D34,'CODE FRS'!B:B,'CODE FRS'!C:C)</f>
        <v/>
      </c>
      <c r="F34" s="2" t="inlineStr">
        <is>
          <t>CA5858RB/AC1719RB</t>
        </is>
      </c>
      <c r="G34" s="2" t="n">
        <v>35036</v>
      </c>
      <c r="H34" s="4" t="n">
        <v>46920</v>
      </c>
      <c r="I34" s="4" t="n">
        <v>479</v>
      </c>
      <c r="J34" s="4" t="n">
        <v>340</v>
      </c>
      <c r="K34" s="4">
        <f>H34*J34</f>
        <v/>
      </c>
      <c r="L34" s="4" t="n">
        <v>15952800</v>
      </c>
      <c r="M34" s="4">
        <f>K34-L34</f>
        <v/>
      </c>
      <c r="N34" s="2">
        <f t="array" ref="N34">_xlfn.IFNA(_xlfn.IFS(M34=0,"PAYE",K34=M34,"NON PAYE"),"PARTIEL")</f>
        <v/>
      </c>
      <c r="O34" s="23" t="inlineStr">
        <is>
          <t>CC-0075-2026 &amp; CHQ-0159-2026</t>
        </is>
      </c>
      <c r="P34" s="23" t="inlineStr">
        <is>
          <t>DECHARGE</t>
        </is>
      </c>
      <c r="Q34" s="26" t="inlineStr">
        <is>
          <t>GDIZ</t>
        </is>
      </c>
    </row>
    <row r="35">
      <c r="A35" s="47" t="n">
        <v>46259</v>
      </c>
      <c r="B35" s="25" t="n"/>
      <c r="C35" s="22" t="n">
        <v>1031</v>
      </c>
      <c r="D35" s="1" t="inlineStr">
        <is>
          <t>FRS00031</t>
        </is>
      </c>
      <c r="E35" s="3">
        <f>_xlfn.XLOOKUP(D35,'CODE FRS'!B:B,'CODE FRS'!C:C)</f>
        <v/>
      </c>
      <c r="F35" s="2" t="inlineStr">
        <is>
          <t>BX1108RB/BX1109RB</t>
        </is>
      </c>
      <c r="G35" s="2" t="n">
        <v>35101</v>
      </c>
      <c r="H35" s="4" t="n">
        <v>42160</v>
      </c>
      <c r="I35" s="4" t="n">
        <v>419</v>
      </c>
      <c r="J35" s="4" t="n">
        <v>330</v>
      </c>
      <c r="K35" s="4">
        <f>H35*J35</f>
        <v/>
      </c>
      <c r="L35" s="4">
        <f>10000000+3912800</f>
        <v/>
      </c>
      <c r="M35" s="4">
        <f>K35-L35</f>
        <v/>
      </c>
      <c r="N35" s="2">
        <f t="array" ref="N35">_xlfn.IFNA(_xlfn.IFS(M35=0,"PAYE",K35=M35,"NON PAYE"),"PARTIEL")</f>
        <v/>
      </c>
      <c r="O35" s="23" t="inlineStr">
        <is>
          <t>CHQ-0174-2026 &amp; CHQ-0189-2026</t>
        </is>
      </c>
      <c r="P35" s="23" t="inlineStr">
        <is>
          <t>DECHARGE</t>
        </is>
      </c>
      <c r="Q35" s="26" t="inlineStr">
        <is>
          <t>GDIZ</t>
        </is>
      </c>
    </row>
    <row r="36" ht="29" customHeight="1">
      <c r="A36" s="47" t="n">
        <v>46259</v>
      </c>
      <c r="B36" s="1" t="inlineStr">
        <is>
          <t>0064-BC-SHEA/NAP-2026</t>
        </is>
      </c>
      <c r="C36" s="22" t="n">
        <v>1032</v>
      </c>
      <c r="D36" s="1" t="inlineStr">
        <is>
          <t>FRS00006</t>
        </is>
      </c>
      <c r="E36" s="3">
        <f>_xlfn.XLOOKUP(D36,'CODE FRS'!B:B,'CODE FRS'!C:C)</f>
        <v/>
      </c>
      <c r="F36" s="2" t="inlineStr">
        <is>
          <t>CL2204RB/BU2541RB</t>
        </is>
      </c>
      <c r="G36" s="2" t="n">
        <v>35083</v>
      </c>
      <c r="H36" s="4" t="n">
        <v>50320</v>
      </c>
      <c r="I36" s="4" t="n">
        <v>490</v>
      </c>
      <c r="J36" s="4" t="n">
        <v>335</v>
      </c>
      <c r="K36" s="4">
        <f>H36*J36</f>
        <v/>
      </c>
      <c r="L36" s="4">
        <f>1000000+5000000+10757200</f>
        <v/>
      </c>
      <c r="M36" s="4">
        <f>K36-L36</f>
        <v/>
      </c>
      <c r="N36" s="2">
        <f t="array" ref="N36">_xlfn.IFNA(_xlfn.IFS(M36=0,"PAYE",K36=M36,"NON PAYE"),"PARTIEL")</f>
        <v/>
      </c>
      <c r="O36" s="23" t="inlineStr">
        <is>
          <t>CC-0083-2026 &amp; CC-0094-2026 &amp; CHQ-0190-2026</t>
        </is>
      </c>
      <c r="P36" s="23" t="inlineStr">
        <is>
          <t>DECHARGE</t>
        </is>
      </c>
      <c r="Q36" s="26" t="inlineStr">
        <is>
          <t>GDIZ</t>
        </is>
      </c>
    </row>
    <row r="37" ht="29" customHeight="1">
      <c r="A37" s="47" t="n">
        <v>46259</v>
      </c>
      <c r="B37" s="1" t="inlineStr">
        <is>
          <t>0027-BC-SHEA/NAP-2026</t>
        </is>
      </c>
      <c r="C37" s="22" t="n">
        <v>1033</v>
      </c>
      <c r="D37" s="1" t="inlineStr">
        <is>
          <t>FRS00013</t>
        </is>
      </c>
      <c r="E37" s="3">
        <f>_xlfn.XLOOKUP(D37,'CODE FRS'!B:B,'CODE FRS'!C:C)</f>
        <v/>
      </c>
      <c r="F37" s="2" t="inlineStr">
        <is>
          <t>BA0693RB/BG9156RB</t>
        </is>
      </c>
      <c r="G37" s="2" t="n">
        <v>35063</v>
      </c>
      <c r="H37" s="4" t="n">
        <v>45300</v>
      </c>
      <c r="I37" s="4" t="n">
        <v>532</v>
      </c>
      <c r="J37" s="4" t="n">
        <v>335</v>
      </c>
      <c r="K37" s="4">
        <f>H37*J37</f>
        <v/>
      </c>
      <c r="L37" s="4">
        <f>100000+9000000+6075500</f>
        <v/>
      </c>
      <c r="M37" s="4">
        <f>K37-L37</f>
        <v/>
      </c>
      <c r="N37" s="2">
        <f t="array" ref="N37">_xlfn.IFNA(_xlfn.IFS(M37=0,"PAYE",K37=M37,"NON PAYE"),"PARTIEL")</f>
        <v/>
      </c>
      <c r="O37" s="23" t="inlineStr">
        <is>
          <t>CC-0074-2026 &amp; CHQ-0163-2026 &amp; CHQ-0171-2026</t>
        </is>
      </c>
      <c r="P37" s="23" t="inlineStr">
        <is>
          <t>DECHARGE</t>
        </is>
      </c>
      <c r="Q37" s="26" t="inlineStr">
        <is>
          <t>GDIZ</t>
        </is>
      </c>
    </row>
    <row r="38">
      <c r="A38" s="47" t="n">
        <v>46259</v>
      </c>
      <c r="B38" s="1" t="inlineStr">
        <is>
          <t>0046-BC-SHEA/NAP-2026</t>
        </is>
      </c>
      <c r="C38" s="22" t="n">
        <v>1034</v>
      </c>
      <c r="D38" s="1" t="inlineStr">
        <is>
          <t>FRS00003</t>
        </is>
      </c>
      <c r="E38" s="3">
        <f>_xlfn.XLOOKUP(D38,'CODE FRS'!B:B,'CODE FRS'!C:C)</f>
        <v/>
      </c>
      <c r="F38" s="2" t="inlineStr">
        <is>
          <t>BU0599RB/BC5874RB</t>
        </is>
      </c>
      <c r="G38" s="2" t="n">
        <v>35085</v>
      </c>
      <c r="H38" s="4" t="n">
        <v>20900</v>
      </c>
      <c r="I38" s="4" t="n">
        <v>220</v>
      </c>
      <c r="J38" s="4" t="n">
        <v>345</v>
      </c>
      <c r="K38" s="4">
        <f>H38*J38</f>
        <v/>
      </c>
      <c r="L38" s="4">
        <f>5000000+2210500</f>
        <v/>
      </c>
      <c r="M38" s="4">
        <f>K38-L38</f>
        <v/>
      </c>
      <c r="N38" s="2">
        <f t="array" ref="N38">_xlfn.IFNA(_xlfn.IFS(M38=0,"PAYE",K38=M38,"NON PAYE"),"PARTIEL")</f>
        <v/>
      </c>
      <c r="O38" s="23" t="inlineStr">
        <is>
          <t>CHQ-0184-2026 &amp; CHQ-0214-2026</t>
        </is>
      </c>
      <c r="P38" s="23" t="inlineStr">
        <is>
          <t>DECHARGE</t>
        </is>
      </c>
      <c r="Q38" s="26" t="inlineStr">
        <is>
          <t>GDIZ</t>
        </is>
      </c>
    </row>
    <row r="39">
      <c r="A39" s="47" t="n">
        <v>46259</v>
      </c>
      <c r="B39" s="1" t="inlineStr">
        <is>
          <t>0076-BC-SHEA/NAP-2026</t>
        </is>
      </c>
      <c r="C39" s="22" t="n">
        <v>1035</v>
      </c>
      <c r="D39" s="1" t="inlineStr">
        <is>
          <t>FRS00001</t>
        </is>
      </c>
      <c r="E39" s="3">
        <f>_xlfn.XLOOKUP(D39,'CODE FRS'!B:B,'CODE FRS'!C:C)</f>
        <v/>
      </c>
      <c r="F39" s="2" t="inlineStr">
        <is>
          <t>CG4463RB/CE6958RB</t>
        </is>
      </c>
      <c r="G39" s="2" t="n">
        <v>35074</v>
      </c>
      <c r="H39" s="4" t="n">
        <v>42380</v>
      </c>
      <c r="I39" s="4" t="n">
        <v>460</v>
      </c>
      <c r="J39" s="4" t="n">
        <v>335</v>
      </c>
      <c r="K39" s="4">
        <f>H39*J39</f>
        <v/>
      </c>
      <c r="L39" s="4" t="n">
        <v>14197300</v>
      </c>
      <c r="M39" s="4">
        <f>K39-L39</f>
        <v/>
      </c>
      <c r="N39" s="2">
        <f t="array" ref="N39">_xlfn.IFNA(_xlfn.IFS(M39=0,"PAYE",K39=M39,"NON PAYE"),"PARTIEL")</f>
        <v/>
      </c>
      <c r="O39" s="23" t="inlineStr">
        <is>
          <t>CHQ-0167-2026</t>
        </is>
      </c>
      <c r="P39" s="23" t="inlineStr">
        <is>
          <t>DECHARGE</t>
        </is>
      </c>
      <c r="Q39" s="26" t="inlineStr">
        <is>
          <t>GDIZ</t>
        </is>
      </c>
    </row>
    <row r="40">
      <c r="A40" s="47" t="n">
        <v>46259</v>
      </c>
      <c r="B40" s="1" t="n"/>
      <c r="C40" s="22" t="n">
        <v>1036</v>
      </c>
      <c r="D40" s="1" t="inlineStr">
        <is>
          <t>FRS00009</t>
        </is>
      </c>
      <c r="E40" s="3">
        <f>_xlfn.XLOOKUP(D40,'CODE FRS'!B:B,'CODE FRS'!C:C)</f>
        <v/>
      </c>
      <c r="F40" s="2" t="inlineStr">
        <is>
          <t>BB9793RB/BD3472RB</t>
        </is>
      </c>
      <c r="G40" s="2" t="n">
        <v>35127</v>
      </c>
      <c r="H40" s="4" t="n">
        <v>2700</v>
      </c>
      <c r="I40" s="4" t="n">
        <v>22</v>
      </c>
      <c r="J40" s="4" t="n">
        <v>330</v>
      </c>
      <c r="K40" s="4">
        <f>H40*J40</f>
        <v/>
      </c>
      <c r="L40" s="4" t="n">
        <v>891000</v>
      </c>
      <c r="M40" s="4">
        <f>K40-L40</f>
        <v/>
      </c>
      <c r="N40" s="2">
        <f t="array" ref="N40">_xlfn.IFNA(_xlfn.IFS(M40=0,"PAYE",K40=M40,"NON PAYE"),"PARTIEL")</f>
        <v/>
      </c>
      <c r="O40" s="23" t="inlineStr">
        <is>
          <t>CHQ-0169-2026</t>
        </is>
      </c>
      <c r="P40" s="23" t="inlineStr">
        <is>
          <t>DECHARGE</t>
        </is>
      </c>
      <c r="Q40" s="26" t="inlineStr">
        <is>
          <t>GDIZ</t>
        </is>
      </c>
    </row>
    <row r="41">
      <c r="A41" s="47" t="n">
        <v>46259</v>
      </c>
      <c r="B41" s="1" t="inlineStr">
        <is>
          <t>0078-BC-SHEA/NAP-2026</t>
        </is>
      </c>
      <c r="C41" s="22" t="n">
        <v>1037</v>
      </c>
      <c r="D41" s="1" t="inlineStr">
        <is>
          <t>FRS00009</t>
        </is>
      </c>
      <c r="E41" s="3">
        <f>_xlfn.XLOOKUP(D41,'CODE FRS'!B:B,'CODE FRS'!C:C)</f>
        <v/>
      </c>
      <c r="F41" s="2" t="inlineStr">
        <is>
          <t>BD4987RB/BE6187RB</t>
        </is>
      </c>
      <c r="G41" s="2" t="n">
        <v>35124</v>
      </c>
      <c r="H41" s="4" t="n">
        <v>51320</v>
      </c>
      <c r="I41" s="4" t="n">
        <v>475</v>
      </c>
      <c r="J41" s="4" t="n">
        <v>330</v>
      </c>
      <c r="K41" s="4">
        <f>H41*J41</f>
        <v/>
      </c>
      <c r="L41" s="4">
        <f>13422400+2900000</f>
        <v/>
      </c>
      <c r="M41" s="4">
        <f>K41-L41</f>
        <v/>
      </c>
      <c r="N41" s="2">
        <f t="array" ref="N41">_xlfn.IFNA(_xlfn.IFS(M41=0,"PAYE",K41=M41,"NON PAYE"),"PARTIEL")</f>
        <v/>
      </c>
      <c r="O41" s="23" t="inlineStr">
        <is>
          <t>CHQ-0169-2026 &amp; CHQ-0188-2026</t>
        </is>
      </c>
      <c r="P41" s="23" t="inlineStr">
        <is>
          <t>DECHARGE</t>
        </is>
      </c>
      <c r="Q41" s="26" t="inlineStr">
        <is>
          <t>GDIZ</t>
        </is>
      </c>
    </row>
    <row r="42">
      <c r="A42" s="47" t="n">
        <v>46260</v>
      </c>
      <c r="B42" s="1" t="inlineStr">
        <is>
          <t>0075-BC-SHEA/NAP-2026</t>
        </is>
      </c>
      <c r="C42" s="22" t="n">
        <v>1038</v>
      </c>
      <c r="D42" s="1" t="inlineStr">
        <is>
          <t>FRS00003</t>
        </is>
      </c>
      <c r="E42" s="3">
        <f>_xlfn.XLOOKUP(D42,'CODE FRS'!B:B,'CODE FRS'!C:C)</f>
        <v/>
      </c>
      <c r="F42" s="2" t="inlineStr">
        <is>
          <t>AX8757RB/AJ9269RB</t>
        </is>
      </c>
      <c r="G42" s="2" t="n">
        <v>35157</v>
      </c>
      <c r="H42" s="4" t="n">
        <v>45500</v>
      </c>
      <c r="I42" s="4" t="n">
        <v>485</v>
      </c>
      <c r="J42" s="4" t="n">
        <v>345</v>
      </c>
      <c r="K42" s="4">
        <f>H42*J42</f>
        <v/>
      </c>
      <c r="L42" s="4">
        <f>10000000+5697500</f>
        <v/>
      </c>
      <c r="M42" s="4">
        <f>K42-L42</f>
        <v/>
      </c>
      <c r="N42" s="2">
        <f t="array" ref="N42">_xlfn.IFNA(_xlfn.IFS(M42=0,"PAYE",K42=M42,"NON PAYE"),"PARTIEL")</f>
        <v/>
      </c>
      <c r="O42" s="23" t="inlineStr">
        <is>
          <t>CHQ-0192-2026 &amp; CHQ-0214-2026</t>
        </is>
      </c>
      <c r="P42" s="23" t="inlineStr">
        <is>
          <t>DECHARGE</t>
        </is>
      </c>
      <c r="Q42" s="26" t="inlineStr">
        <is>
          <t>GDIZ</t>
        </is>
      </c>
    </row>
    <row r="43">
      <c r="A43" s="47" t="n">
        <v>46260</v>
      </c>
      <c r="B43" s="1" t="inlineStr">
        <is>
          <t>0069-BC-SHEA/NAP-2026</t>
        </is>
      </c>
      <c r="C43" s="22" t="n">
        <v>1039</v>
      </c>
      <c r="D43" s="1" t="inlineStr">
        <is>
          <t>FRS00016</t>
        </is>
      </c>
      <c r="E43" s="3">
        <f>_xlfn.XLOOKUP(D43,'CODE FRS'!B:B,'CODE FRS'!C:C)</f>
        <v/>
      </c>
      <c r="F43" s="2" t="inlineStr">
        <is>
          <t>CA7583RB/AP2290RB</t>
        </is>
      </c>
      <c r="G43" s="2" t="n">
        <v>35182</v>
      </c>
      <c r="H43" s="4" t="n">
        <v>47940</v>
      </c>
      <c r="I43" s="4" t="n">
        <v>475</v>
      </c>
      <c r="J43" s="4" t="n">
        <v>340</v>
      </c>
      <c r="K43" s="4">
        <f>H43*J43</f>
        <v/>
      </c>
      <c r="L43" s="4" t="n">
        <v>16299600</v>
      </c>
      <c r="M43" s="4">
        <f>K43-L43</f>
        <v/>
      </c>
      <c r="N43" s="2">
        <f t="array" ref="N43">_xlfn.IFNA(_xlfn.IFS(M43=0,"PAYE",K43=M43,"NON PAYE"),"PARTIEL")</f>
        <v/>
      </c>
      <c r="O43" s="23" t="inlineStr">
        <is>
          <t>CHQ-0172-2026</t>
        </is>
      </c>
      <c r="P43" s="23" t="inlineStr">
        <is>
          <t>DECHARGE</t>
        </is>
      </c>
      <c r="Q43" s="26" t="inlineStr">
        <is>
          <t>GDIZ</t>
        </is>
      </c>
    </row>
    <row r="44">
      <c r="A44" s="47" t="n">
        <v>46260</v>
      </c>
      <c r="B44" s="1" t="inlineStr">
        <is>
          <t>0065-BC-SHEA/NAP-2026</t>
        </is>
      </c>
      <c r="C44" s="22" t="n">
        <v>1040</v>
      </c>
      <c r="D44" s="1" t="inlineStr">
        <is>
          <t>FRS00016</t>
        </is>
      </c>
      <c r="E44" s="3">
        <f>_xlfn.XLOOKUP(D44,'CODE FRS'!B:B,'CODE FRS'!C:C)</f>
        <v/>
      </c>
      <c r="F44" s="2" t="inlineStr">
        <is>
          <t>CK5227RB/CK6157RB</t>
        </is>
      </c>
      <c r="G44" s="2" t="n">
        <v>35180</v>
      </c>
      <c r="H44" s="4" t="n">
        <v>49020</v>
      </c>
      <c r="I44" s="4" t="n">
        <v>502</v>
      </c>
      <c r="J44" s="4" t="n">
        <v>340</v>
      </c>
      <c r="K44" s="4">
        <f>H44*J44</f>
        <v/>
      </c>
      <c r="L44" s="4" t="n">
        <v>16666800</v>
      </c>
      <c r="M44" s="4">
        <f>K44-L44</f>
        <v/>
      </c>
      <c r="N44" s="2">
        <f t="array" ref="N44">_xlfn.IFNA(_xlfn.IFS(M44=0,"PAYE",K44=M44,"NON PAYE"),"PARTIEL")</f>
        <v/>
      </c>
      <c r="O44" s="23" t="inlineStr">
        <is>
          <t>CHQ-0200-2026</t>
        </is>
      </c>
      <c r="P44" s="23" t="inlineStr">
        <is>
          <t>DECHARGE</t>
        </is>
      </c>
      <c r="Q44" s="26" t="inlineStr">
        <is>
          <t>GDIZ</t>
        </is>
      </c>
    </row>
    <row r="45">
      <c r="A45" s="47" t="n">
        <v>46260</v>
      </c>
      <c r="B45" s="25" t="n"/>
      <c r="C45" s="22" t="n">
        <v>1041</v>
      </c>
      <c r="D45" s="1" t="inlineStr">
        <is>
          <t>FRS00008</t>
        </is>
      </c>
      <c r="E45" s="3">
        <f>_xlfn.XLOOKUP(D45,'CODE FRS'!B:B,'CODE FRS'!C:C)</f>
        <v/>
      </c>
      <c r="F45" s="2" t="inlineStr">
        <is>
          <t>BL6012RB/AS9458RB</t>
        </is>
      </c>
      <c r="G45" s="2" t="n">
        <v>35137</v>
      </c>
      <c r="H45" s="4" t="n">
        <v>49400</v>
      </c>
      <c r="I45" s="4" t="n">
        <v>468</v>
      </c>
      <c r="J45" s="4" t="n">
        <v>330</v>
      </c>
      <c r="K45" s="4">
        <f>H45*J45</f>
        <v/>
      </c>
      <c r="L45" s="4">
        <f>10000000+6202000</f>
        <v/>
      </c>
      <c r="M45" s="4">
        <f>K45-L45</f>
        <v/>
      </c>
      <c r="N45" s="2">
        <f t="array" ref="N45">_xlfn.IFNA(_xlfn.IFS(M45=0,"PAYE",K45=M45,"NON PAYE"),"PARTIEL")</f>
        <v/>
      </c>
      <c r="O45" s="23" t="inlineStr">
        <is>
          <t>CHQ-0177-2026 &amp; CHQ-0187-2026</t>
        </is>
      </c>
      <c r="P45" s="23" t="inlineStr">
        <is>
          <t>DECHARGE</t>
        </is>
      </c>
      <c r="Q45" s="26" t="inlineStr">
        <is>
          <t>GDIZ</t>
        </is>
      </c>
    </row>
    <row r="46">
      <c r="A46" s="47" t="n">
        <v>46261</v>
      </c>
      <c r="B46" s="1" t="inlineStr">
        <is>
          <t>0083-BC-SHEA/NAP-2026</t>
        </is>
      </c>
      <c r="C46" s="22" t="n">
        <v>1042</v>
      </c>
      <c r="D46" s="1" t="inlineStr">
        <is>
          <t>FRS00020</t>
        </is>
      </c>
      <c r="E46" s="3">
        <f>_xlfn.XLOOKUP(D46,'CODE FRS'!B:B,'CODE FRS'!C:C)</f>
        <v/>
      </c>
      <c r="F46" s="2" t="inlineStr">
        <is>
          <t>CF1589RB/BS9736RB</t>
        </is>
      </c>
      <c r="G46" s="2" t="n">
        <v>35194</v>
      </c>
      <c r="H46" s="4" t="n">
        <v>50060</v>
      </c>
      <c r="I46" s="4" t="n">
        <v>512</v>
      </c>
      <c r="J46" s="4" t="n">
        <v>335</v>
      </c>
      <c r="K46" s="4">
        <f>H46*J46</f>
        <v/>
      </c>
      <c r="L46" s="4" t="n"/>
      <c r="M46" s="4">
        <f>K46-L46</f>
        <v/>
      </c>
      <c r="N46" s="2">
        <f t="array" ref="N46">_xlfn.IFNA(_xlfn.IFS(M46=0,"PAYE",K46=M46,"NON PAYE"),"PARTIEL")</f>
        <v/>
      </c>
      <c r="O46" s="23" t="inlineStr">
        <is>
          <t>CHQ-0170-2026 &amp;CHQ-0186-2026</t>
        </is>
      </c>
      <c r="P46" s="23" t="inlineStr">
        <is>
          <t>DECHARGE</t>
        </is>
      </c>
      <c r="Q46" s="26" t="inlineStr">
        <is>
          <t>GDIZ</t>
        </is>
      </c>
    </row>
    <row r="47">
      <c r="A47" s="47" t="n">
        <v>46261</v>
      </c>
      <c r="B47" s="1" t="inlineStr">
        <is>
          <t>0062-BC-SHEA/NAP-2026</t>
        </is>
      </c>
      <c r="C47" s="22" t="n">
        <v>1043</v>
      </c>
      <c r="D47" s="1" t="inlineStr">
        <is>
          <t>FRS00001</t>
        </is>
      </c>
      <c r="E47" s="3">
        <f>_xlfn.XLOOKUP(D47,'CODE FRS'!B:B,'CODE FRS'!C:C)</f>
        <v/>
      </c>
      <c r="F47" s="2" t="inlineStr">
        <is>
          <t>BS9163RB/CD2740RB</t>
        </is>
      </c>
      <c r="G47" s="2" t="n">
        <v>35243</v>
      </c>
      <c r="H47" s="4" t="n">
        <v>45620</v>
      </c>
      <c r="I47" s="4" t="n">
        <v>450</v>
      </c>
      <c r="J47" s="4" t="n">
        <v>335</v>
      </c>
      <c r="K47" s="4">
        <f>H47*J47</f>
        <v/>
      </c>
      <c r="L47" s="4" t="n">
        <v>15282700</v>
      </c>
      <c r="M47" s="4">
        <f>K47-L47</f>
        <v/>
      </c>
      <c r="N47" s="2">
        <f t="array" ref="N47">_xlfn.IFNA(_xlfn.IFS(M47=0,"PAYE",K47=M47,"NON PAYE"),"PARTIEL")</f>
        <v/>
      </c>
      <c r="O47" s="23" t="inlineStr">
        <is>
          <t>CC-0095-2026</t>
        </is>
      </c>
      <c r="P47" s="23" t="inlineStr">
        <is>
          <t>DECHARGE</t>
        </is>
      </c>
      <c r="Q47" s="26" t="inlineStr">
        <is>
          <t>GDIZ</t>
        </is>
      </c>
    </row>
    <row r="48">
      <c r="A48" s="47" t="n">
        <v>46262</v>
      </c>
      <c r="B48" s="1" t="inlineStr">
        <is>
          <t>0082-BC-SHEA/NAP-2026</t>
        </is>
      </c>
      <c r="C48" s="22" t="n">
        <v>1044</v>
      </c>
      <c r="D48" s="1" t="inlineStr">
        <is>
          <t>FRS00025</t>
        </is>
      </c>
      <c r="E48" s="3">
        <f>_xlfn.XLOOKUP(D48,'CODE FRS'!B:B,'CODE FRS'!C:C)</f>
        <v/>
      </c>
      <c r="F48" s="2" t="inlineStr">
        <is>
          <t>BP6016RB/BB1424RB</t>
        </is>
      </c>
      <c r="G48" s="2" t="n">
        <v>35276</v>
      </c>
      <c r="H48" s="4" t="n">
        <v>43340</v>
      </c>
      <c r="I48" s="4" t="n">
        <v>401</v>
      </c>
      <c r="J48" s="4" t="n">
        <v>330</v>
      </c>
      <c r="K48" s="4">
        <f>H48*J48</f>
        <v/>
      </c>
      <c r="L48" s="4" t="n">
        <v>14302200</v>
      </c>
      <c r="M48" s="4">
        <f>K48-L48</f>
        <v/>
      </c>
      <c r="N48" s="2">
        <f t="array" ref="N48">_xlfn.IFNA(_xlfn.IFS(M48=0,"PAYE",K48=M48,"NON PAYE"),"PARTIEL")</f>
        <v/>
      </c>
      <c r="O48" s="23" t="inlineStr">
        <is>
          <t>CHQ-0199-2026</t>
        </is>
      </c>
      <c r="P48" s="23" t="inlineStr">
        <is>
          <t>DECHARGE</t>
        </is>
      </c>
      <c r="Q48" s="26" t="inlineStr">
        <is>
          <t>GDIZ</t>
        </is>
      </c>
    </row>
    <row r="49">
      <c r="A49" s="47" t="n">
        <v>46262</v>
      </c>
      <c r="B49" s="1" t="inlineStr">
        <is>
          <t>0080-BC-SHEA/NAP-2026</t>
        </is>
      </c>
      <c r="C49" s="22" t="n">
        <v>1045</v>
      </c>
      <c r="D49" s="1" t="inlineStr">
        <is>
          <t>FRS00001</t>
        </is>
      </c>
      <c r="E49" s="3">
        <f>_xlfn.XLOOKUP(D49,'CODE FRS'!B:B,'CODE FRS'!C:C)</f>
        <v/>
      </c>
      <c r="F49" s="2" t="inlineStr">
        <is>
          <t>BE0559RB/BD8562RB</t>
        </is>
      </c>
      <c r="G49" s="2" t="n">
        <v>35271</v>
      </c>
      <c r="H49" s="4" t="n">
        <v>43680</v>
      </c>
      <c r="I49" s="4" t="n">
        <v>448</v>
      </c>
      <c r="J49" s="4" t="n">
        <v>335</v>
      </c>
      <c r="K49" s="4">
        <f>H49*J49</f>
        <v/>
      </c>
      <c r="L49" s="4" t="n">
        <v>14632800</v>
      </c>
      <c r="M49" s="4">
        <f>K49-L49</f>
        <v/>
      </c>
      <c r="N49" s="2">
        <f t="array" ref="N49">_xlfn.IFNA(_xlfn.IFS(M49=0,"PAYE",K49=M49,"NON PAYE"),"PARTIEL")</f>
        <v/>
      </c>
      <c r="O49" s="23" t="inlineStr">
        <is>
          <t>CHQ-0193-2026</t>
        </is>
      </c>
      <c r="P49" s="23" t="inlineStr">
        <is>
          <t>DECHARGE</t>
        </is>
      </c>
      <c r="Q49" s="26" t="inlineStr">
        <is>
          <t>GDIZ</t>
        </is>
      </c>
    </row>
    <row r="50">
      <c r="A50" s="47" t="n">
        <v>46262</v>
      </c>
      <c r="B50" s="1" t="inlineStr">
        <is>
          <t>0086-BC-SHEA/NAP-2026</t>
        </is>
      </c>
      <c r="C50" s="22" t="n">
        <v>1046</v>
      </c>
      <c r="D50" s="1" t="inlineStr">
        <is>
          <t>FRS00016</t>
        </is>
      </c>
      <c r="E50" s="3">
        <f>_xlfn.XLOOKUP(D50,'CODE FRS'!B:B,'CODE FRS'!C:C)</f>
        <v/>
      </c>
      <c r="F50" s="2" t="inlineStr">
        <is>
          <t>CC9207RB/CG3619RB</t>
        </is>
      </c>
      <c r="G50" s="2" t="n">
        <v>35291</v>
      </c>
      <c r="H50" s="4" t="n">
        <v>34280</v>
      </c>
      <c r="I50" s="4" t="n">
        <v>360</v>
      </c>
      <c r="J50" s="4" t="n">
        <v>340</v>
      </c>
      <c r="K50" s="4">
        <f>H50*J50</f>
        <v/>
      </c>
      <c r="L50" s="4" t="n">
        <v>11655200</v>
      </c>
      <c r="M50" s="4">
        <f>K50-L50</f>
        <v/>
      </c>
      <c r="N50" s="2">
        <f t="array" ref="N50">_xlfn.IFNA(_xlfn.IFS(M50=0,"PAYE",K50=M50,"NON PAYE"),"PARTIEL")</f>
        <v/>
      </c>
      <c r="O50" s="23" t="inlineStr">
        <is>
          <t>CC-0098-2026</t>
        </is>
      </c>
      <c r="P50" s="23" t="inlineStr">
        <is>
          <t>DECHARGE</t>
        </is>
      </c>
      <c r="Q50" s="26" t="inlineStr">
        <is>
          <t>GDIZ</t>
        </is>
      </c>
    </row>
    <row r="51">
      <c r="A51" s="47" t="n">
        <v>46262</v>
      </c>
      <c r="B51" s="1" t="inlineStr">
        <is>
          <t>0092-BC-SHEA/NAP-2026</t>
        </is>
      </c>
      <c r="C51" s="22" t="n">
        <v>1047</v>
      </c>
      <c r="D51" s="1" t="inlineStr">
        <is>
          <t>FRS00021</t>
        </is>
      </c>
      <c r="E51" s="3">
        <f>_xlfn.XLOOKUP(D51,'CODE FRS'!B:B,'CODE FRS'!C:C)</f>
        <v/>
      </c>
      <c r="F51" s="2" t="inlineStr">
        <is>
          <t>CA6378RB/CA6379RB</t>
        </is>
      </c>
      <c r="G51" s="2" t="n">
        <v>35275</v>
      </c>
      <c r="H51" s="4" t="n">
        <v>47860</v>
      </c>
      <c r="I51" s="4" t="n">
        <v>470</v>
      </c>
      <c r="J51" s="4" t="n">
        <v>330</v>
      </c>
      <c r="K51" s="4">
        <f>H51*J51</f>
        <v/>
      </c>
      <c r="L51" s="4">
        <f>13000000+2793800</f>
        <v/>
      </c>
      <c r="M51" s="4">
        <f>K51-L51</f>
        <v/>
      </c>
      <c r="N51" s="2">
        <f t="array" ref="N51">_xlfn.IFNA(_xlfn.IFS(M51=0,"PAYE",K51=M51,"NON PAYE"),"PARTIEL")</f>
        <v/>
      </c>
      <c r="O51" s="23" t="inlineStr">
        <is>
          <t>CHQ-0195-2026 &amp; CHQ-0207-2026</t>
        </is>
      </c>
      <c r="P51" s="23" t="inlineStr">
        <is>
          <t>DECHARGE</t>
        </is>
      </c>
      <c r="Q51" s="26" t="inlineStr">
        <is>
          <t>GDIZ</t>
        </is>
      </c>
    </row>
    <row r="52">
      <c r="A52" s="47" t="n">
        <v>46263</v>
      </c>
      <c r="B52" s="1" t="inlineStr">
        <is>
          <t>0093-BC-SHEA/NAP-2026</t>
        </is>
      </c>
      <c r="C52" s="22" t="n">
        <v>1048</v>
      </c>
      <c r="D52" s="1" t="inlineStr">
        <is>
          <t>FRS00020</t>
        </is>
      </c>
      <c r="E52" s="3">
        <f>_xlfn.XLOOKUP(D52,'CODE FRS'!B:B,'CODE FRS'!C:C)</f>
        <v/>
      </c>
      <c r="F52" s="2" t="inlineStr">
        <is>
          <t>CL6144RB/CL6145RB</t>
        </is>
      </c>
      <c r="G52" s="2" t="n">
        <v>35297</v>
      </c>
      <c r="H52" s="4" t="n">
        <v>50080</v>
      </c>
      <c r="I52" s="4" t="n">
        <v>470</v>
      </c>
      <c r="J52" s="4" t="n">
        <v>335</v>
      </c>
      <c r="K52" s="4">
        <f>H52*J52</f>
        <v/>
      </c>
      <c r="L52" s="4">
        <f>15776800+1000000</f>
        <v/>
      </c>
      <c r="M52" s="4">
        <f>K52-L52</f>
        <v/>
      </c>
      <c r="N52" s="2">
        <f t="array" ref="N52">_xlfn.IFNA(_xlfn.IFS(M52=0,"PAYE",K52=M52,"NON PAYE"),"PARTIEL")</f>
        <v/>
      </c>
      <c r="O52" s="23" t="inlineStr">
        <is>
          <t>CHQ-0194-2026 &amp; CHQ-0209-2026</t>
        </is>
      </c>
      <c r="P52" s="23" t="inlineStr">
        <is>
          <t>DECHARGE</t>
        </is>
      </c>
      <c r="Q52" s="26" t="inlineStr">
        <is>
          <t>GDIZ</t>
        </is>
      </c>
    </row>
    <row r="53">
      <c r="A53" s="47" t="n">
        <v>46265</v>
      </c>
      <c r="B53" s="25" t="n"/>
      <c r="C53" s="22" t="n">
        <v>1049</v>
      </c>
      <c r="D53" s="1" t="inlineStr">
        <is>
          <t>FRS00010</t>
        </is>
      </c>
      <c r="E53" s="3">
        <f>_xlfn.XLOOKUP(D53,'CODE FRS'!B:B,'CODE FRS'!C:C)</f>
        <v/>
      </c>
      <c r="F53" s="2" t="inlineStr">
        <is>
          <t>CE9160RB/AL1655RB</t>
        </is>
      </c>
      <c r="G53" s="2" t="n">
        <v>35382</v>
      </c>
      <c r="H53" s="4" t="n">
        <v>46460</v>
      </c>
      <c r="I53" s="4" t="n">
        <v>500</v>
      </c>
      <c r="J53" s="4" t="n">
        <v>330</v>
      </c>
      <c r="K53" s="4">
        <f>H53*J53</f>
        <v/>
      </c>
      <c r="L53" s="4" t="n">
        <v>15331800</v>
      </c>
      <c r="M53" s="4">
        <f>K53-L53</f>
        <v/>
      </c>
      <c r="N53" s="2">
        <f t="array" ref="N53">_xlfn.IFNA(_xlfn.IFS(M53=0,"PAYE",K53=M53,"NON PAYE"),"PARTIEL")</f>
        <v/>
      </c>
      <c r="O53" s="23" t="inlineStr">
        <is>
          <t>CHQ-0197-2026</t>
        </is>
      </c>
      <c r="P53" s="23" t="inlineStr">
        <is>
          <t>DECHARGE</t>
        </is>
      </c>
      <c r="Q53" s="26" t="inlineStr">
        <is>
          <t>GDIZ</t>
        </is>
      </c>
    </row>
    <row r="54">
      <c r="A54" s="47" t="n">
        <v>46265</v>
      </c>
      <c r="B54" s="1" t="inlineStr">
        <is>
          <t>0042-BC-SHEA/NAP-2026</t>
        </is>
      </c>
      <c r="C54" s="22" t="n">
        <v>1050</v>
      </c>
      <c r="D54" s="1" t="inlineStr">
        <is>
          <t>FRS00003</t>
        </is>
      </c>
      <c r="E54" s="3">
        <f>_xlfn.XLOOKUP(D54,'CODE FRS'!B:B,'CODE FRS'!C:C)</f>
        <v/>
      </c>
      <c r="F54" s="2" t="inlineStr">
        <is>
          <t>AT8153RB/BN3081RB</t>
        </is>
      </c>
      <c r="G54" s="2" t="n">
        <v>35408</v>
      </c>
      <c r="H54" s="4" t="n">
        <v>26800</v>
      </c>
      <c r="I54" s="4" t="n">
        <v>300</v>
      </c>
      <c r="J54" s="4" t="n">
        <v>340</v>
      </c>
      <c r="K54" s="4">
        <f>H54*J54</f>
        <v/>
      </c>
      <c r="L54" s="4" t="n">
        <v>9112000</v>
      </c>
      <c r="M54" s="4">
        <f>K54-L54</f>
        <v/>
      </c>
      <c r="N54" s="2">
        <f t="array" ref="N54">_xlfn.IFNA(_xlfn.IFS(M54=0,"PAYE",K54=M54,"NON PAYE"),"PARTIEL")</f>
        <v/>
      </c>
      <c r="O54" s="23" t="inlineStr">
        <is>
          <t>CC-0099-2026</t>
        </is>
      </c>
      <c r="P54" s="23" t="inlineStr">
        <is>
          <t>DECHARGE</t>
        </is>
      </c>
      <c r="Q54" s="26" t="inlineStr">
        <is>
          <t>GDIZ</t>
        </is>
      </c>
    </row>
    <row r="55">
      <c r="A55" s="47" t="n">
        <v>46265</v>
      </c>
      <c r="B55" s="1" t="inlineStr">
        <is>
          <t>0099-BC-SHEA/NAP-2026</t>
        </is>
      </c>
      <c r="C55" s="22" t="n">
        <v>1051</v>
      </c>
      <c r="D55" s="1" t="inlineStr">
        <is>
          <t>FRS00019</t>
        </is>
      </c>
      <c r="E55" s="3">
        <f>_xlfn.XLOOKUP(D55,'CODE FRS'!B:B,'CODE FRS'!C:C)</f>
        <v/>
      </c>
      <c r="F55" s="2" t="inlineStr">
        <is>
          <t>CE6245RB/BT9604RB</t>
        </is>
      </c>
      <c r="G55" s="2" t="n">
        <v>35332</v>
      </c>
      <c r="H55" s="4" t="n">
        <v>49280</v>
      </c>
      <c r="I55" s="4" t="n">
        <v>516</v>
      </c>
      <c r="J55" s="4" t="n">
        <v>330</v>
      </c>
      <c r="K55" s="4">
        <f>H55*J55</f>
        <v/>
      </c>
      <c r="L55" s="4" t="n">
        <v>16262400</v>
      </c>
      <c r="M55" s="4">
        <f>K55-L55</f>
        <v/>
      </c>
      <c r="N55" s="2">
        <f t="array" ref="N55">_xlfn.IFNA(_xlfn.IFS(M55=0,"PAYE",K55=M55,"NON PAYE"),"PARTIEL")</f>
        <v/>
      </c>
      <c r="O55" s="23" t="inlineStr">
        <is>
          <t>CHQ-0196-2026</t>
        </is>
      </c>
      <c r="P55" s="23" t="inlineStr">
        <is>
          <t>DECHARGE</t>
        </is>
      </c>
      <c r="Q55" s="26" t="inlineStr">
        <is>
          <t>GDIZ</t>
        </is>
      </c>
    </row>
    <row r="56">
      <c r="A56" s="47" t="n">
        <v>46266</v>
      </c>
      <c r="B56" s="1" t="inlineStr">
        <is>
          <t>0104-BC-SHEA/NAP-2026</t>
        </is>
      </c>
      <c r="C56" s="22" t="n">
        <v>1052</v>
      </c>
      <c r="D56" s="1" t="inlineStr">
        <is>
          <t>FRS00032</t>
        </is>
      </c>
      <c r="E56" s="3">
        <f>_xlfn.XLOOKUP(D56,'CODE FRS'!B:B,'CODE FRS'!C:C)</f>
        <v/>
      </c>
      <c r="F56" s="2" t="inlineStr">
        <is>
          <t>CF0609RB/CF0565RB</t>
        </is>
      </c>
      <c r="G56" s="2" t="n">
        <v>35412</v>
      </c>
      <c r="H56" s="4" t="n">
        <v>48820</v>
      </c>
      <c r="I56" s="4" t="n">
        <v>541</v>
      </c>
      <c r="J56" s="4" t="n">
        <v>340</v>
      </c>
      <c r="K56" s="4">
        <f>H56*J56</f>
        <v/>
      </c>
      <c r="L56" s="4" t="n">
        <v>16598800</v>
      </c>
      <c r="M56" s="4">
        <f>K56-L56</f>
        <v/>
      </c>
      <c r="N56" s="2">
        <f t="array" ref="N56">_xlfn.IFNA(_xlfn.IFS(M56=0,"PAYE",K56=M56,"NON PAYE"),"PARTIEL")</f>
        <v/>
      </c>
      <c r="O56" s="23" t="inlineStr">
        <is>
          <t>CHQ-0198-2026</t>
        </is>
      </c>
      <c r="P56" s="23" t="inlineStr">
        <is>
          <t>DECHARGE</t>
        </is>
      </c>
      <c r="Q56" s="26" t="inlineStr">
        <is>
          <t>GDIZ</t>
        </is>
      </c>
    </row>
    <row r="57">
      <c r="A57" s="47" t="n">
        <v>46266</v>
      </c>
      <c r="B57" s="1" t="inlineStr">
        <is>
          <t>0098-BC-SHEA/NAP-2026</t>
        </is>
      </c>
      <c r="C57" s="22" t="n">
        <v>1053</v>
      </c>
      <c r="D57" s="1" t="inlineStr">
        <is>
          <t>FRS00020</t>
        </is>
      </c>
      <c r="E57" s="3">
        <f>_xlfn.XLOOKUP(D57,'CODE FRS'!B:B,'CODE FRS'!C:C)</f>
        <v/>
      </c>
      <c r="F57" s="2" t="inlineStr">
        <is>
          <t>BU4105RB/BS8146RB</t>
        </is>
      </c>
      <c r="G57" s="2" t="n">
        <v>35422</v>
      </c>
      <c r="H57" s="4" t="n">
        <v>45100</v>
      </c>
      <c r="I57" s="4" t="n">
        <v>438</v>
      </c>
      <c r="J57" s="4" t="n">
        <v>335</v>
      </c>
      <c r="K57" s="4">
        <f>H57*J57</f>
        <v/>
      </c>
      <c r="L57" s="4" t="n">
        <v>15108500</v>
      </c>
      <c r="M57" s="4">
        <f>K57-L57</f>
        <v/>
      </c>
      <c r="N57" s="2">
        <f t="array" ref="N57">_xlfn.IFNA(_xlfn.IFS(M57=0,"PAYE",K57=M57,"NON PAYE"),"PARTIEL")</f>
        <v/>
      </c>
      <c r="O57" s="23" t="inlineStr">
        <is>
          <t>CHQ-0209-2026</t>
        </is>
      </c>
      <c r="P57" s="23" t="inlineStr">
        <is>
          <t>DECHARGE</t>
        </is>
      </c>
      <c r="Q57" s="26" t="inlineStr">
        <is>
          <t>GDIZ</t>
        </is>
      </c>
    </row>
    <row r="58">
      <c r="A58" s="47" t="n">
        <v>46266</v>
      </c>
      <c r="B58" s="1" t="inlineStr">
        <is>
          <t>0101-BC-SHEA/NAP-2026</t>
        </is>
      </c>
      <c r="C58" s="22" t="n">
        <v>1054</v>
      </c>
      <c r="D58" s="1" t="inlineStr">
        <is>
          <t>FRS00001</t>
        </is>
      </c>
      <c r="E58" s="3">
        <f>_xlfn.XLOOKUP(D58,'CODE FRS'!B:B,'CODE FRS'!C:C)</f>
        <v/>
      </c>
      <c r="F58" s="2" t="inlineStr">
        <is>
          <t>BV6373RB/AB3109RB</t>
        </is>
      </c>
      <c r="G58" s="2" t="n">
        <v>35453</v>
      </c>
      <c r="H58" s="4" t="n">
        <v>40020</v>
      </c>
      <c r="I58" s="4" t="n">
        <v>417</v>
      </c>
      <c r="J58" s="4" t="n">
        <v>335</v>
      </c>
      <c r="K58" s="4">
        <f>H58*J58</f>
        <v/>
      </c>
      <c r="L58" s="4" t="n">
        <v>13406700</v>
      </c>
      <c r="M58" s="4">
        <f>K58-L58</f>
        <v/>
      </c>
      <c r="N58" s="2">
        <f t="array" ref="N58">_xlfn.IFNA(_xlfn.IFS(M58=0,"PAYE",K58=M58,"NON PAYE"),"PARTIEL")</f>
        <v/>
      </c>
      <c r="O58" s="23" t="inlineStr">
        <is>
          <t>CHQ-0205-2026</t>
        </is>
      </c>
      <c r="P58" s="23" t="inlineStr">
        <is>
          <t>DECHARGE</t>
        </is>
      </c>
      <c r="Q58" s="26" t="inlineStr">
        <is>
          <t>GDIZ</t>
        </is>
      </c>
    </row>
    <row r="59">
      <c r="A59" s="47" t="n">
        <v>46266</v>
      </c>
      <c r="B59" s="1" t="inlineStr">
        <is>
          <t>0096-BC-SHEA/NAP-2026</t>
        </is>
      </c>
      <c r="C59" s="22" t="n">
        <v>1055</v>
      </c>
      <c r="D59" s="1" t="inlineStr">
        <is>
          <t>FRS00032</t>
        </is>
      </c>
      <c r="E59" s="3">
        <f>_xlfn.XLOOKUP(D59,'CODE FRS'!B:B,'CODE FRS'!C:C)</f>
        <v/>
      </c>
      <c r="F59" s="2" t="inlineStr">
        <is>
          <t>CC4841RB/AP2269RB</t>
        </is>
      </c>
      <c r="G59" s="2" t="n">
        <v>35411</v>
      </c>
      <c r="H59" s="4" t="n">
        <v>47680</v>
      </c>
      <c r="I59" s="4" t="n">
        <v>512</v>
      </c>
      <c r="J59" s="4" t="n">
        <v>340</v>
      </c>
      <c r="K59" s="4">
        <f>H59*J59</f>
        <v/>
      </c>
      <c r="L59" s="4" t="n">
        <v>16211200</v>
      </c>
      <c r="M59" s="4">
        <f>K59-L59</f>
        <v/>
      </c>
      <c r="N59" s="2">
        <f t="array" ref="N59">_xlfn.IFNA(_xlfn.IFS(M59=0,"PAYE",K59=M59,"NON PAYE"),"PARTIEL")</f>
        <v/>
      </c>
      <c r="O59" s="23" t="inlineStr">
        <is>
          <t>CHQ-0212-2026</t>
        </is>
      </c>
      <c r="P59" s="23" t="inlineStr">
        <is>
          <t>DECHARGE</t>
        </is>
      </c>
      <c r="Q59" s="26" t="inlineStr">
        <is>
          <t>GDIZ</t>
        </is>
      </c>
    </row>
    <row r="60">
      <c r="A60" s="47" t="n">
        <v>46266</v>
      </c>
      <c r="B60" s="1" t="inlineStr">
        <is>
          <t>0059-BC-SHEA/NAP-2026</t>
        </is>
      </c>
      <c r="C60" s="22" t="n">
        <v>1056</v>
      </c>
      <c r="D60" s="1" t="inlineStr">
        <is>
          <t>FRS00016</t>
        </is>
      </c>
      <c r="E60" s="3">
        <f>_xlfn.XLOOKUP(D60,'CODE FRS'!B:B,'CODE FRS'!C:C)</f>
        <v/>
      </c>
      <c r="F60" s="2" t="inlineStr">
        <is>
          <t>BU6129RB/BU5781RB</t>
        </is>
      </c>
      <c r="G60" s="2" t="n">
        <v>35423</v>
      </c>
      <c r="H60" s="4" t="n">
        <v>48220</v>
      </c>
      <c r="I60" s="4" t="n">
        <v>480</v>
      </c>
      <c r="J60" s="4" t="n">
        <v>340</v>
      </c>
      <c r="K60" s="4">
        <f>H60*J60</f>
        <v/>
      </c>
      <c r="L60" s="4" t="n">
        <v>16394800</v>
      </c>
      <c r="M60" s="4">
        <f>K60-L60</f>
        <v/>
      </c>
      <c r="N60" s="2">
        <f t="array" ref="N60">_xlfn.IFNA(_xlfn.IFS(M60=0,"PAYE",K60=M60,"NON PAYE"),"PARTIEL")</f>
        <v/>
      </c>
      <c r="O60" s="23" t="inlineStr">
        <is>
          <t>CHQ-0210-2026</t>
        </is>
      </c>
      <c r="P60" s="23" t="inlineStr">
        <is>
          <t>DECHARGE</t>
        </is>
      </c>
      <c r="Q60" s="26" t="inlineStr">
        <is>
          <t>GDIZ</t>
        </is>
      </c>
    </row>
    <row r="61">
      <c r="A61" s="47" t="n">
        <v>46267</v>
      </c>
      <c r="B61" s="1" t="inlineStr">
        <is>
          <t>0107-BC-SHEA/NAP-2026</t>
        </is>
      </c>
      <c r="C61" s="22" t="n">
        <v>1057</v>
      </c>
      <c r="D61" s="1" t="inlineStr">
        <is>
          <t>FRS00016</t>
        </is>
      </c>
      <c r="E61" s="3">
        <f>_xlfn.XLOOKUP(D61,'CODE FRS'!B:B,'CODE FRS'!C:C)</f>
        <v/>
      </c>
      <c r="F61" s="2" t="inlineStr">
        <is>
          <t>BR1679RB/AZ2904RB</t>
        </is>
      </c>
      <c r="G61" s="2" t="n">
        <v>35476</v>
      </c>
      <c r="H61" s="4" t="n">
        <v>48300</v>
      </c>
      <c r="I61" s="4" t="n">
        <v>516</v>
      </c>
      <c r="J61" s="4" t="n">
        <v>340</v>
      </c>
      <c r="K61" s="4">
        <f>H61*J61</f>
        <v/>
      </c>
      <c r="L61" s="4" t="n">
        <v>16422000</v>
      </c>
      <c r="M61" s="4">
        <f>K61-L61</f>
        <v/>
      </c>
      <c r="N61" s="2">
        <f t="array" ref="N61">_xlfn.IFNA(_xlfn.IFS(M61=0,"PAYE",K61=M61,"NON PAYE"),"PARTIEL")</f>
        <v/>
      </c>
      <c r="O61" s="23" t="inlineStr">
        <is>
          <t>CHQ-0210-2026</t>
        </is>
      </c>
      <c r="P61" s="23" t="inlineStr">
        <is>
          <t>DECHARGE</t>
        </is>
      </c>
      <c r="Q61" s="26" t="inlineStr">
        <is>
          <t>GDIZ</t>
        </is>
      </c>
    </row>
    <row r="62">
      <c r="A62" s="47" t="n">
        <v>46268</v>
      </c>
      <c r="B62" s="1" t="inlineStr">
        <is>
          <t>0060-BC-SHEA/NAP-2026</t>
        </is>
      </c>
      <c r="C62" s="22" t="n">
        <v>1058</v>
      </c>
      <c r="D62" s="1" t="inlineStr">
        <is>
          <t>FRS00016</t>
        </is>
      </c>
      <c r="E62" s="3">
        <f>_xlfn.XLOOKUP(D62,'CODE FRS'!B:B,'CODE FRS'!C:C)</f>
        <v/>
      </c>
      <c r="F62" s="2" t="inlineStr">
        <is>
          <t>BR5745RB/AX3586RB</t>
        </is>
      </c>
      <c r="G62" s="2" t="n">
        <v>35516</v>
      </c>
      <c r="H62" s="4" t="n">
        <v>32320</v>
      </c>
      <c r="I62" s="4" t="n">
        <v>346</v>
      </c>
      <c r="J62" s="4" t="n">
        <v>340</v>
      </c>
      <c r="K62" s="4" t="n">
        <v>10988800</v>
      </c>
      <c r="L62" s="4" t="n">
        <v>10988800</v>
      </c>
      <c r="M62" s="4">
        <f>K62-L62</f>
        <v/>
      </c>
      <c r="N62" s="2">
        <f t="array" ref="N62">_xlfn.IFNA(_xlfn.IFS(M62=0,"PAYE",K62=M62,"NON PAYE"),"PARTIEL")</f>
        <v/>
      </c>
      <c r="O62" s="23" t="inlineStr">
        <is>
          <t>CHQ-0232-2026</t>
        </is>
      </c>
      <c r="P62" s="23" t="inlineStr">
        <is>
          <t>DECHARGE</t>
        </is>
      </c>
      <c r="Q62" s="26" t="inlineStr">
        <is>
          <t>GDIZ</t>
        </is>
      </c>
    </row>
    <row r="63">
      <c r="A63" s="47" t="n">
        <v>46268</v>
      </c>
      <c r="B63" s="1" t="n"/>
      <c r="C63" s="22" t="n">
        <v>1059</v>
      </c>
      <c r="D63" s="1" t="inlineStr">
        <is>
          <t>FRS00024</t>
        </is>
      </c>
      <c r="E63" s="3">
        <f>_xlfn.XLOOKUP(D63,'CODE FRS'!B:B,'CODE FRS'!C:C)</f>
        <v/>
      </c>
      <c r="F63" s="2" t="inlineStr">
        <is>
          <t>BL8976RB/AP2371RB</t>
        </is>
      </c>
      <c r="G63" s="2" t="n">
        <v>35514</v>
      </c>
      <c r="H63" s="4" t="n">
        <v>33820</v>
      </c>
      <c r="I63" s="4" t="n">
        <v>375</v>
      </c>
      <c r="J63" s="4" t="n">
        <v>330</v>
      </c>
      <c r="K63" s="4">
        <f>H63*J63</f>
        <v/>
      </c>
      <c r="L63" s="4" t="n">
        <v>11160600</v>
      </c>
      <c r="M63" s="4">
        <f>K63-L63</f>
        <v/>
      </c>
      <c r="N63" s="2">
        <f t="array" ref="N63">_xlfn.IFNA(_xlfn.IFS(M63=0,"PAYE",K63=M63,"NON PAYE"),"PARTIEL")</f>
        <v/>
      </c>
      <c r="O63" s="23" t="inlineStr">
        <is>
          <t>CHQ-0208-2026</t>
        </is>
      </c>
      <c r="P63" s="23" t="inlineStr">
        <is>
          <t>DECHARGE</t>
        </is>
      </c>
      <c r="Q63" s="26" t="inlineStr">
        <is>
          <t>GDIZ</t>
        </is>
      </c>
    </row>
    <row r="64">
      <c r="A64" s="47" t="n">
        <v>46268</v>
      </c>
      <c r="B64" s="1" t="inlineStr">
        <is>
          <t>0117-BC-SHEA/NAP-2026</t>
        </is>
      </c>
      <c r="C64" s="22" t="n">
        <v>1060</v>
      </c>
      <c r="D64" s="1" t="inlineStr">
        <is>
          <t>FRS00004</t>
        </is>
      </c>
      <c r="E64" s="3">
        <f>_xlfn.XLOOKUP(D64,'CODE FRS'!B:B,'CODE FRS'!C:C)</f>
        <v/>
      </c>
      <c r="F64" s="2" t="inlineStr">
        <is>
          <t>CC4207RB/CD6286RB</t>
        </is>
      </c>
      <c r="G64" s="2" t="n">
        <v>35517</v>
      </c>
      <c r="H64" s="4" t="n">
        <v>49280</v>
      </c>
      <c r="I64" s="4" t="n">
        <v>497</v>
      </c>
      <c r="J64" s="4" t="n">
        <v>340</v>
      </c>
      <c r="K64" s="4">
        <f>H64*J64</f>
        <v/>
      </c>
      <c r="L64" s="4" t="n">
        <v>16755200</v>
      </c>
      <c r="M64" s="4">
        <f>K64-L64</f>
        <v/>
      </c>
      <c r="N64" s="2">
        <f t="array" ref="N64">_xlfn.IFNA(_xlfn.IFS(M64=0,"PAYE",K64=M64,"NON PAYE"),"PARTIEL")</f>
        <v/>
      </c>
      <c r="O64" s="23" t="inlineStr">
        <is>
          <t>CHQ-0219-2026</t>
        </is>
      </c>
      <c r="P64" s="23" t="inlineStr">
        <is>
          <t>DECHARGE</t>
        </is>
      </c>
      <c r="Q64" s="26" t="inlineStr">
        <is>
          <t>GDIZ</t>
        </is>
      </c>
    </row>
    <row r="65" ht="29" customHeight="1">
      <c r="A65" s="47" t="n">
        <v>46268</v>
      </c>
      <c r="B65" s="1" t="inlineStr">
        <is>
          <t>0127-BC-SHEA/NAP-2026</t>
        </is>
      </c>
      <c r="C65" s="22" t="n">
        <v>1061</v>
      </c>
      <c r="D65" s="1" t="inlineStr">
        <is>
          <t>FRS00001</t>
        </is>
      </c>
      <c r="E65" s="3">
        <f>_xlfn.XLOOKUP(D65,'CODE FRS'!B:B,'CODE FRS'!C:C)</f>
        <v/>
      </c>
      <c r="F65" s="2" t="inlineStr">
        <is>
          <t>CD5503RB/BP1368RB</t>
        </is>
      </c>
      <c r="G65" s="2" t="n">
        <v>35518</v>
      </c>
      <c r="H65" s="4" t="n">
        <v>25780</v>
      </c>
      <c r="I65" s="4" t="n">
        <v>247</v>
      </c>
      <c r="J65" s="4" t="n">
        <v>335</v>
      </c>
      <c r="K65" s="4">
        <f>H65*J65</f>
        <v/>
      </c>
      <c r="L65" s="4">
        <f>5000000+1500000+2136300</f>
        <v/>
      </c>
      <c r="M65" s="4">
        <f>K65-L65</f>
        <v/>
      </c>
      <c r="N65" s="2">
        <f t="array" ref="N65">_xlfn.IFNA(_xlfn.IFS(M65=0,"PAYE",K65=M65,"NON PAYE"),"PARTIEL")</f>
        <v/>
      </c>
      <c r="O65" s="23" t="inlineStr">
        <is>
          <t>CHQ-0221-2026 &amp; CC-0106-2026 &amp; CHQ-0231-2026</t>
        </is>
      </c>
      <c r="P65" s="23" t="inlineStr">
        <is>
          <t>DECHARGE</t>
        </is>
      </c>
      <c r="Q65" s="26" t="inlineStr">
        <is>
          <t>GDIZ</t>
        </is>
      </c>
    </row>
    <row r="66">
      <c r="A66" s="47" t="n">
        <v>46269</v>
      </c>
      <c r="B66" s="1" t="n"/>
      <c r="C66" s="22" t="n">
        <v>1062</v>
      </c>
      <c r="D66" s="1" t="inlineStr">
        <is>
          <t>FRS00031</t>
        </is>
      </c>
      <c r="E66" s="3">
        <f>_xlfn.XLOOKUP(D66,'CODE FRS'!B:B,'CODE FRS'!C:C)</f>
        <v/>
      </c>
      <c r="F66" s="2" t="inlineStr">
        <is>
          <t>BY5716RB/BY3843RB</t>
        </is>
      </c>
      <c r="G66" s="2" t="n">
        <v>35525</v>
      </c>
      <c r="H66" s="4" t="n">
        <v>46000</v>
      </c>
      <c r="I66" s="4" t="n">
        <v>450</v>
      </c>
      <c r="J66" s="4" t="n">
        <v>330</v>
      </c>
      <c r="K66" s="4">
        <f>H66*J66</f>
        <v/>
      </c>
      <c r="L66" s="4" t="n">
        <v>15180000</v>
      </c>
      <c r="M66" s="4">
        <f>K66-L66</f>
        <v/>
      </c>
      <c r="N66" s="2">
        <f t="array" ref="N66">_xlfn.IFNA(_xlfn.IFS(M66=0,"PAYE",K66=M66,"NON PAYE"),"PARTIEL")</f>
        <v/>
      </c>
      <c r="O66" s="23" t="inlineStr">
        <is>
          <t>CHQ-0213-2026</t>
        </is>
      </c>
      <c r="P66" s="23" t="inlineStr">
        <is>
          <t>DECHARGE</t>
        </is>
      </c>
      <c r="Q66" s="26" t="inlineStr">
        <is>
          <t>GDIZ</t>
        </is>
      </c>
    </row>
    <row r="67">
      <c r="A67" s="47" t="n">
        <v>46269</v>
      </c>
      <c r="B67" s="1" t="inlineStr">
        <is>
          <t>0121-BC-SHEA/NAP-2026</t>
        </is>
      </c>
      <c r="C67" s="22" t="n">
        <v>1063</v>
      </c>
      <c r="D67" s="1" t="inlineStr">
        <is>
          <t>FRS00039</t>
        </is>
      </c>
      <c r="E67" s="3">
        <f>_xlfn.XLOOKUP(D67,'CODE FRS'!B:B,'CODE FRS'!C:C)</f>
        <v/>
      </c>
      <c r="F67" s="2" t="inlineStr">
        <is>
          <t>BX8487RB/BS9645RB</t>
        </is>
      </c>
      <c r="G67" s="2" t="n">
        <v>35522</v>
      </c>
      <c r="H67" s="4" t="n">
        <v>37840</v>
      </c>
      <c r="I67" s="4" t="n">
        <v>336</v>
      </c>
      <c r="J67" s="4" t="n">
        <v>330</v>
      </c>
      <c r="K67" s="4">
        <f>H67*J67</f>
        <v/>
      </c>
      <c r="L67" s="4" t="n">
        <v>12487200</v>
      </c>
      <c r="M67" s="4">
        <f>K67-L67</f>
        <v/>
      </c>
      <c r="N67" s="2">
        <f t="array" ref="N67">_xlfn.IFNA(_xlfn.IFS(M67=0,"PAYE",K67=M67,"NON PAYE"),"PARTIEL")</f>
        <v/>
      </c>
      <c r="O67" s="23" t="inlineStr">
        <is>
          <t>CHQ-0211-2026</t>
        </is>
      </c>
      <c r="P67" s="23" t="inlineStr">
        <is>
          <t>DECHARGE</t>
        </is>
      </c>
      <c r="Q67" s="26" t="inlineStr">
        <is>
          <t>GDIZ</t>
        </is>
      </c>
    </row>
    <row r="68">
      <c r="A68" s="47" t="n">
        <v>46269</v>
      </c>
      <c r="B68" s="25" t="n"/>
      <c r="C68" s="22" t="n">
        <v>1064</v>
      </c>
      <c r="D68" s="1" t="inlineStr">
        <is>
          <t>FRS00043</t>
        </is>
      </c>
      <c r="E68" s="3">
        <f>_xlfn.XLOOKUP(D68,'CODE FRS'!B:B,'CODE FRS'!C:C)</f>
        <v/>
      </c>
      <c r="F68" s="2" t="inlineStr">
        <is>
          <t>CC2790RB/CC2385RB</t>
        </is>
      </c>
      <c r="G68" s="2" t="n">
        <v>35540</v>
      </c>
      <c r="H68" s="4" t="n">
        <v>57940</v>
      </c>
      <c r="I68" s="4" t="n">
        <v>613</v>
      </c>
      <c r="J68" s="4" t="n">
        <v>335</v>
      </c>
      <c r="K68" s="4">
        <f>H68*J68</f>
        <v/>
      </c>
      <c r="L68" s="4" t="n">
        <v>19409900</v>
      </c>
      <c r="M68" s="4">
        <f>K68-L68</f>
        <v/>
      </c>
      <c r="N68" s="2">
        <f t="array" ref="N68">_xlfn.IFNA(_xlfn.IFS(M68=0,"PAYE",K68=M68,"NON PAYE"),"PARTIEL")</f>
        <v/>
      </c>
      <c r="O68" s="23" t="inlineStr">
        <is>
          <t>CHQ-0222-2026</t>
        </is>
      </c>
      <c r="P68" s="23" t="inlineStr">
        <is>
          <t>DECHARGE</t>
        </is>
      </c>
      <c r="Q68" s="26" t="inlineStr">
        <is>
          <t>GDIZ</t>
        </is>
      </c>
    </row>
    <row r="69">
      <c r="A69" s="47" t="n">
        <v>46269</v>
      </c>
      <c r="B69" s="1" t="inlineStr">
        <is>
          <t>0106-BC-SHEA/NAP-2026</t>
        </is>
      </c>
      <c r="C69" s="22" t="n">
        <v>1065</v>
      </c>
      <c r="D69" s="1" t="inlineStr">
        <is>
          <t>FRS00016</t>
        </is>
      </c>
      <c r="E69" s="3">
        <f>_xlfn.XLOOKUP(D69,'CODE FRS'!B:B,'CODE FRS'!C:C)</f>
        <v/>
      </c>
      <c r="F69" s="2" t="inlineStr">
        <is>
          <t>BJ0371RB/AH9481RB</t>
        </is>
      </c>
      <c r="G69" s="2" t="n">
        <v>35524</v>
      </c>
      <c r="H69" s="4" t="n">
        <v>30640</v>
      </c>
      <c r="I69" s="4" t="n">
        <v>392</v>
      </c>
      <c r="J69" s="4" t="n">
        <v>340</v>
      </c>
      <c r="K69" s="4">
        <f>H69*J69</f>
        <v/>
      </c>
      <c r="L69" s="4" t="n">
        <v>10417600</v>
      </c>
      <c r="M69" s="4">
        <f>K69-L69</f>
        <v/>
      </c>
      <c r="N69" s="2">
        <f t="array" ref="N69">_xlfn.IFNA(_xlfn.IFS(M69=0,"PAYE",K69=M69,"NON PAYE"),"PARTIEL")</f>
        <v/>
      </c>
      <c r="O69" s="23" t="inlineStr">
        <is>
          <t>CHQ-0232-2026</t>
        </is>
      </c>
      <c r="P69" s="23" t="inlineStr">
        <is>
          <t>DECHARGE</t>
        </is>
      </c>
      <c r="Q69" s="26" t="inlineStr">
        <is>
          <t>GDIZ</t>
        </is>
      </c>
    </row>
    <row r="70">
      <c r="A70" s="47" t="n">
        <v>46270</v>
      </c>
      <c r="B70" s="1" t="inlineStr">
        <is>
          <t>0131-BC-SHEA/NAP-2026</t>
        </is>
      </c>
      <c r="C70" s="22" t="n">
        <v>1066</v>
      </c>
      <c r="D70" s="1" t="inlineStr">
        <is>
          <t>FRS00032</t>
        </is>
      </c>
      <c r="E70" s="3">
        <f>_xlfn.XLOOKUP(D70,'CODE FRS'!B:B,'CODE FRS'!C:C)</f>
        <v/>
      </c>
      <c r="F70" s="2" t="inlineStr">
        <is>
          <t>CC0738RB/BX6397RB</t>
        </is>
      </c>
      <c r="G70" s="2" t="n">
        <v>35551</v>
      </c>
      <c r="H70" s="4" t="n">
        <v>51880</v>
      </c>
      <c r="I70" s="4" t="n">
        <v>533</v>
      </c>
      <c r="J70" s="4" t="n">
        <v>335</v>
      </c>
      <c r="K70" s="4">
        <f>H70*J70</f>
        <v/>
      </c>
      <c r="L70" s="4" t="n">
        <v>17379800</v>
      </c>
      <c r="M70" s="4">
        <f>K70-L70</f>
        <v/>
      </c>
      <c r="N70" s="2">
        <f t="array" ref="N70">_xlfn.IFNA(_xlfn.IFS(M70=0,"PAYE",K70=M70,"NON PAYE"),"PARTIEL")</f>
        <v/>
      </c>
      <c r="O70" s="23" t="inlineStr">
        <is>
          <t>CHQ-0236-2026</t>
        </is>
      </c>
      <c r="P70" s="23" t="inlineStr">
        <is>
          <t>DECHARGE</t>
        </is>
      </c>
      <c r="Q70" s="26" t="inlineStr">
        <is>
          <t>GDIZ</t>
        </is>
      </c>
    </row>
    <row r="71">
      <c r="A71" s="47" t="n">
        <v>46270</v>
      </c>
      <c r="B71" s="1" t="inlineStr">
        <is>
          <t>0126-BC-SHEA/NAP-2026</t>
        </is>
      </c>
      <c r="C71" s="22" t="n">
        <v>1067</v>
      </c>
      <c r="D71" s="1" t="inlineStr">
        <is>
          <t>FRS00015</t>
        </is>
      </c>
      <c r="E71" s="3">
        <f>_xlfn.XLOOKUP(D71,'CODE FRS'!B:B,'CODE FRS'!C:C)</f>
        <v/>
      </c>
      <c r="F71" s="2" t="inlineStr">
        <is>
          <t>BD6172RB/AG2S64RB</t>
        </is>
      </c>
      <c r="G71" s="2" t="n">
        <v>35550</v>
      </c>
      <c r="H71" s="4" t="n">
        <v>47600</v>
      </c>
      <c r="I71" s="4" t="n">
        <v>498</v>
      </c>
      <c r="J71" s="4" t="n">
        <v>335</v>
      </c>
      <c r="K71" s="4">
        <f>H71*J71</f>
        <v/>
      </c>
      <c r="L71" s="4">
        <f>13946000+2000000</f>
        <v/>
      </c>
      <c r="M71" s="4">
        <f>K71-L71</f>
        <v/>
      </c>
      <c r="N71" s="2">
        <f t="array" ref="N71">_xlfn.IFNA(_xlfn.IFS(M71=0,"PAYE",K71=M71,"NON PAYE"),"PARTIEL")</f>
        <v/>
      </c>
      <c r="O71" s="23" t="inlineStr">
        <is>
          <t>CHQ-0217-2026 &amp; CHQ-0230-2026</t>
        </is>
      </c>
      <c r="P71" s="23" t="inlineStr">
        <is>
          <t>DECHARGE</t>
        </is>
      </c>
      <c r="Q71" s="26" t="inlineStr">
        <is>
          <t>GDIZ</t>
        </is>
      </c>
    </row>
    <row r="72">
      <c r="A72" s="47" t="n">
        <v>46270</v>
      </c>
      <c r="B72" s="1" t="inlineStr">
        <is>
          <t>0120-BC-SHEA/NAP-2026</t>
        </is>
      </c>
      <c r="C72" s="22" t="n">
        <v>1068</v>
      </c>
      <c r="D72" s="1" t="inlineStr">
        <is>
          <t>FRS00038</t>
        </is>
      </c>
      <c r="E72" s="3">
        <f>_xlfn.XLOOKUP(D72,'CODE FRS'!B:B,'CODE FRS'!C:C)</f>
        <v/>
      </c>
      <c r="F72" s="2" t="inlineStr">
        <is>
          <t>BT2739RB/BT2986RB</t>
        </is>
      </c>
      <c r="G72" s="2" t="n">
        <v>35568</v>
      </c>
      <c r="H72" s="4" t="n">
        <v>49740</v>
      </c>
      <c r="I72" s="4" t="n">
        <v>503</v>
      </c>
      <c r="J72" s="4" t="n">
        <v>331</v>
      </c>
      <c r="K72" s="4">
        <f>H72*J72</f>
        <v/>
      </c>
      <c r="L72" s="4" t="n">
        <v>16463940</v>
      </c>
      <c r="M72" s="4">
        <f>K72-L72</f>
        <v/>
      </c>
      <c r="N72" s="2">
        <f t="array" ref="N72">_xlfn.IFNA(_xlfn.IFS(M72=0,"PAYE",K72=M72,"NON PAYE"),"PARTIEL")</f>
        <v/>
      </c>
      <c r="O72" s="23" t="inlineStr">
        <is>
          <t>CHQ-0227-2026</t>
        </is>
      </c>
      <c r="P72" s="23" t="inlineStr">
        <is>
          <t>DECHARGE</t>
        </is>
      </c>
      <c r="Q72" s="26" t="inlineStr">
        <is>
          <t>GDIZ</t>
        </is>
      </c>
    </row>
    <row r="73">
      <c r="A73" s="47" t="n">
        <v>46270</v>
      </c>
      <c r="B73" s="1" t="inlineStr">
        <is>
          <t>0133-BC-SHEA/NAP-2026</t>
        </is>
      </c>
      <c r="C73" s="22" t="n">
        <v>1069</v>
      </c>
      <c r="D73" s="1" t="inlineStr">
        <is>
          <t>FRS00001</t>
        </is>
      </c>
      <c r="E73" s="3">
        <f>_xlfn.XLOOKUP(D73,'CODE FRS'!B:B,'CODE FRS'!C:C)</f>
        <v/>
      </c>
      <c r="F73" s="2" t="inlineStr">
        <is>
          <t>BS1649RB/BT0719RB</t>
        </is>
      </c>
      <c r="G73" s="2" t="n">
        <v>35580</v>
      </c>
      <c r="H73" s="4" t="n">
        <v>47020</v>
      </c>
      <c r="I73" s="4" t="n">
        <v>482</v>
      </c>
      <c r="J73" s="4" t="n">
        <v>335</v>
      </c>
      <c r="K73" s="4">
        <f>H73*J73</f>
        <v/>
      </c>
      <c r="L73" s="4" t="n">
        <v>15751700</v>
      </c>
      <c r="M73" s="4">
        <f>K73-L73</f>
        <v/>
      </c>
      <c r="N73" s="2">
        <f t="array" ref="N73">_xlfn.IFNA(_xlfn.IFS(M73=0,"PAYE",K73=M73,"NON PAYE"),"PARTIEL")</f>
        <v/>
      </c>
      <c r="O73" s="23" t="inlineStr">
        <is>
          <t>CHQ-0205-2026</t>
        </is>
      </c>
      <c r="P73" s="23" t="inlineStr">
        <is>
          <t>DECHARGE</t>
        </is>
      </c>
      <c r="Q73" s="26" t="inlineStr">
        <is>
          <t>GDIZ</t>
        </is>
      </c>
    </row>
    <row r="74">
      <c r="A74" s="47" t="n">
        <v>46270</v>
      </c>
      <c r="B74" s="25" t="n"/>
      <c r="C74" s="22" t="n">
        <v>1070</v>
      </c>
      <c r="D74" s="1" t="inlineStr">
        <is>
          <t>FRS00009</t>
        </is>
      </c>
      <c r="E74" s="3">
        <f>_xlfn.XLOOKUP(D74,'CODE FRS'!B:B,'CODE FRS'!C:C)</f>
        <v/>
      </c>
      <c r="F74" s="2" t="inlineStr">
        <is>
          <t>BS4273RB/BM9382RB</t>
        </is>
      </c>
      <c r="G74" s="2" t="n">
        <v>35570</v>
      </c>
      <c r="H74" s="4" t="n">
        <v>50860</v>
      </c>
      <c r="I74" s="4" t="n">
        <v>512</v>
      </c>
      <c r="J74" s="4" t="n">
        <v>335</v>
      </c>
      <c r="K74" s="4">
        <f>H74*J74</f>
        <v/>
      </c>
      <c r="L74" s="4">
        <f>14038100+3000000</f>
        <v/>
      </c>
      <c r="M74" s="4">
        <f>K74-L74</f>
        <v/>
      </c>
      <c r="N74" s="2">
        <f t="array" ref="N74">_xlfn.IFNA(_xlfn.IFS(M74=0,"PAYE",K74=M74,"NON PAYE"),"PARTIEL")</f>
        <v/>
      </c>
      <c r="O74" s="23" t="inlineStr">
        <is>
          <t>CHQ-0216-2026 &amp; CHQ-0228-2026</t>
        </is>
      </c>
      <c r="P74" s="23" t="inlineStr">
        <is>
          <t>DECHARGE</t>
        </is>
      </c>
      <c r="Q74" s="26" t="inlineStr">
        <is>
          <t>GDIZ</t>
        </is>
      </c>
    </row>
    <row r="75">
      <c r="A75" s="47" t="n">
        <v>46272</v>
      </c>
      <c r="B75" s="1" t="inlineStr">
        <is>
          <t>0125-BC-SHEA/NAP-2026</t>
        </is>
      </c>
      <c r="C75" s="22" t="n">
        <v>1071</v>
      </c>
      <c r="D75" s="1" t="inlineStr">
        <is>
          <t>FRS00016</t>
        </is>
      </c>
      <c r="E75" s="3">
        <f>_xlfn.XLOOKUP(D75,'CODE FRS'!B:B,'CODE FRS'!C:C)</f>
        <v/>
      </c>
      <c r="F75" s="2" t="inlineStr">
        <is>
          <t>CL0086RB/AG5575RB</t>
        </is>
      </c>
      <c r="G75" s="2" t="n">
        <v>35584</v>
      </c>
      <c r="H75" s="4" t="n">
        <v>34240</v>
      </c>
      <c r="I75" s="4" t="n">
        <v>324</v>
      </c>
      <c r="J75" s="4" t="n">
        <v>340</v>
      </c>
      <c r="K75" s="4">
        <f>H75*J75</f>
        <v/>
      </c>
      <c r="L75" s="4" t="n">
        <v>11641600</v>
      </c>
      <c r="M75" s="4">
        <f>K75-L75</f>
        <v/>
      </c>
      <c r="N75" s="2">
        <f t="array" ref="N75">_xlfn.IFNA(_xlfn.IFS(M75=0,"PAYE",K75=M75,"NON PAYE"),"PARTIEL")</f>
        <v/>
      </c>
      <c r="O75" s="23" t="inlineStr">
        <is>
          <t>CHQ-0232-2026</t>
        </is>
      </c>
      <c r="P75" s="23" t="inlineStr">
        <is>
          <t>DECHARGE</t>
        </is>
      </c>
      <c r="Q75" s="26" t="inlineStr">
        <is>
          <t>GDIZ</t>
        </is>
      </c>
    </row>
    <row r="76">
      <c r="A76" s="47" t="n">
        <v>46272</v>
      </c>
      <c r="B76" s="1" t="inlineStr">
        <is>
          <t>0132-BC-SHEA/NAP-2026</t>
        </is>
      </c>
      <c r="C76" s="22" t="n">
        <v>1072</v>
      </c>
      <c r="D76" s="1" t="inlineStr">
        <is>
          <t>FRS00001</t>
        </is>
      </c>
      <c r="E76" s="3">
        <f>_xlfn.XLOOKUP(D76,'CODE FRS'!B:B,'CODE FRS'!C:C)</f>
        <v/>
      </c>
      <c r="F76" s="2" t="inlineStr">
        <is>
          <t>BU1050RB/AY7402RB</t>
        </is>
      </c>
      <c r="G76" s="2" t="n">
        <v>35613</v>
      </c>
      <c r="H76" s="4" t="n">
        <v>44860</v>
      </c>
      <c r="I76" s="4" t="n">
        <v>470</v>
      </c>
      <c r="J76" s="4" t="n">
        <v>335</v>
      </c>
      <c r="K76" s="4">
        <f>H76*J76</f>
        <v/>
      </c>
      <c r="L76" s="4" t="n">
        <v>15028100</v>
      </c>
      <c r="M76" s="4">
        <f>K76-L76</f>
        <v/>
      </c>
      <c r="N76" s="2">
        <f t="array" ref="N76">_xlfn.IFNA(_xlfn.IFS(M76=0,"PAYE",K76=M76,"NON PAYE"),"PARTIEL")</f>
        <v/>
      </c>
      <c r="O76" s="23" t="inlineStr">
        <is>
          <t>CHQ-0231-2026</t>
        </is>
      </c>
      <c r="P76" s="23" t="inlineStr">
        <is>
          <t>DECHARGE</t>
        </is>
      </c>
      <c r="Q76" s="26" t="inlineStr">
        <is>
          <t>GDIZ</t>
        </is>
      </c>
    </row>
    <row r="77">
      <c r="A77" s="47" t="n">
        <v>46272</v>
      </c>
      <c r="B77" s="1" t="inlineStr">
        <is>
          <t>0147-BC-SHEA/NAP-2026</t>
        </is>
      </c>
      <c r="C77" s="22" t="n">
        <v>1073</v>
      </c>
      <c r="D77" s="1" t="inlineStr">
        <is>
          <t>FRS00016</t>
        </is>
      </c>
      <c r="E77" s="3">
        <f>_xlfn.XLOOKUP(D77,'CODE FRS'!B:B,'CODE FRS'!C:C)</f>
        <v/>
      </c>
      <c r="F77" s="2" t="inlineStr">
        <is>
          <t>BF8361RB/AS3628RB</t>
        </is>
      </c>
      <c r="G77" s="2" t="n">
        <v>35612</v>
      </c>
      <c r="H77" s="4" t="n">
        <v>40080</v>
      </c>
      <c r="I77" s="4" t="n">
        <v>425</v>
      </c>
      <c r="J77" s="4" t="n">
        <v>340</v>
      </c>
      <c r="K77" s="4">
        <f>H77*J77</f>
        <v/>
      </c>
      <c r="L77" s="4" t="n">
        <v>13627200</v>
      </c>
      <c r="M77" s="4">
        <f>K77-L77</f>
        <v/>
      </c>
      <c r="N77" s="2">
        <f t="array" ref="N77">_xlfn.IFNA(_xlfn.IFS(M77=0,"PAYE",K77=M77,"NON PAYE"),"PARTIEL")</f>
        <v/>
      </c>
      <c r="O77" s="23" t="inlineStr">
        <is>
          <t>CHQ-0232-2026</t>
        </is>
      </c>
      <c r="P77" s="23" t="inlineStr">
        <is>
          <t>DECHARGE</t>
        </is>
      </c>
      <c r="Q77" s="26" t="inlineStr">
        <is>
          <t>GDIZ</t>
        </is>
      </c>
    </row>
    <row r="78">
      <c r="A78" s="47" t="n">
        <v>46272</v>
      </c>
      <c r="B78" s="1" t="inlineStr">
        <is>
          <t>0128-BC-SHEA/NAP-2026</t>
        </is>
      </c>
      <c r="C78" s="22" t="n">
        <v>1074</v>
      </c>
      <c r="D78" s="1" t="inlineStr">
        <is>
          <t>FRS00001</t>
        </is>
      </c>
      <c r="E78" s="3">
        <f>_xlfn.XLOOKUP(D78,'CODE FRS'!B:B,'CODE FRS'!C:C)</f>
        <v/>
      </c>
      <c r="F78" s="2" t="inlineStr">
        <is>
          <t>BC6242RB/AU5794RB</t>
        </is>
      </c>
      <c r="G78" s="2" t="n">
        <v>35618</v>
      </c>
      <c r="H78" s="4" t="n">
        <v>38040</v>
      </c>
      <c r="I78" s="4" t="n">
        <v>408</v>
      </c>
      <c r="J78" s="4" t="n">
        <v>335</v>
      </c>
      <c r="K78" s="4">
        <f>H78*J78</f>
        <v/>
      </c>
      <c r="L78" s="4">
        <f>10000000+2743400</f>
        <v/>
      </c>
      <c r="M78" s="4">
        <f>K78-L78</f>
        <v/>
      </c>
      <c r="N78" s="2">
        <f t="array" ref="N78">_xlfn.IFNA(_xlfn.IFS(M78=0,"PAYE",K78=M78,"NON PAYE"),"PARTIEL")</f>
        <v/>
      </c>
      <c r="O78" s="23" t="inlineStr">
        <is>
          <t>CHQ-0241-2026 &amp; CHQ-0247-2026</t>
        </is>
      </c>
      <c r="P78" s="23" t="inlineStr">
        <is>
          <t>DECHARGE</t>
        </is>
      </c>
      <c r="Q78" s="26" t="inlineStr">
        <is>
          <t>GDIZ</t>
        </is>
      </c>
    </row>
    <row r="79">
      <c r="A79" s="47" t="n">
        <v>46272</v>
      </c>
      <c r="B79" s="1" t="inlineStr">
        <is>
          <t>0123-BC-SHEA/NAP-2026</t>
        </is>
      </c>
      <c r="C79" s="22" t="n">
        <v>1075</v>
      </c>
      <c r="D79" s="1" t="inlineStr">
        <is>
          <t>FRS00016</t>
        </is>
      </c>
      <c r="E79" s="3">
        <f>_xlfn.XLOOKUP(D79,'CODE FRS'!B:B,'CODE FRS'!C:C)</f>
        <v/>
      </c>
      <c r="F79" s="2" t="inlineStr">
        <is>
          <t>CC9207RB/CG3619RB</t>
        </is>
      </c>
      <c r="G79" s="2" t="n">
        <v>35579</v>
      </c>
      <c r="H79" s="4" t="n">
        <v>34660</v>
      </c>
      <c r="I79" s="4" t="n">
        <v>374</v>
      </c>
      <c r="J79" s="4" t="n">
        <v>340</v>
      </c>
      <c r="K79" s="4">
        <f>H79*J79</f>
        <v/>
      </c>
      <c r="L79" s="4" t="n">
        <v>11784400</v>
      </c>
      <c r="M79" s="4">
        <f>K79-L79</f>
        <v/>
      </c>
      <c r="N79" s="2">
        <f t="array" ref="N79">_xlfn.IFNA(_xlfn.IFS(M79=0,"PAYE",K79=M79,"NON PAYE"),"PARTIEL")</f>
        <v/>
      </c>
      <c r="O79" s="23" t="inlineStr">
        <is>
          <t>CHQ-0254-2026</t>
        </is>
      </c>
      <c r="P79" s="23" t="inlineStr">
        <is>
          <t>DECHARGE</t>
        </is>
      </c>
      <c r="Q79" s="26" t="inlineStr">
        <is>
          <t>GDIZ</t>
        </is>
      </c>
    </row>
    <row r="80">
      <c r="A80" s="47" t="n">
        <v>46272</v>
      </c>
      <c r="B80" s="1" t="inlineStr">
        <is>
          <t>0139-BC-SHEA/NAP-2026</t>
        </is>
      </c>
      <c r="C80" s="22" t="n">
        <v>1076</v>
      </c>
      <c r="D80" s="1" t="inlineStr">
        <is>
          <t>FRS00026</t>
        </is>
      </c>
      <c r="E80" s="3">
        <f>_xlfn.XLOOKUP(D80,'CODE FRS'!B:B,'CODE FRS'!C:C)</f>
        <v/>
      </c>
      <c r="F80" s="2" t="inlineStr">
        <is>
          <t>BX0236RB/BP0463RB</t>
        </is>
      </c>
      <c r="G80" s="2" t="n">
        <v>35616</v>
      </c>
      <c r="H80" s="4" t="n">
        <v>46460</v>
      </c>
      <c r="I80" s="4" t="n">
        <v>567</v>
      </c>
      <c r="J80" s="4" t="n">
        <v>332</v>
      </c>
      <c r="K80" s="4">
        <f>H80*J80</f>
        <v/>
      </c>
      <c r="L80" s="4" t="n">
        <v>15424720</v>
      </c>
      <c r="M80" s="4">
        <f>K80-L80</f>
        <v/>
      </c>
      <c r="N80" s="2">
        <f t="array" ref="N80">_xlfn.IFNA(_xlfn.IFS(M80=0,"PAYE",K80=M80,"NON PAYE"),"PARTIEL")</f>
        <v/>
      </c>
      <c r="O80" s="23" t="inlineStr">
        <is>
          <t>CHQ-0234-2026</t>
        </is>
      </c>
      <c r="P80" s="23" t="inlineStr">
        <is>
          <t>DECHARGE</t>
        </is>
      </c>
      <c r="Q80" s="26" t="inlineStr">
        <is>
          <t>GDIZ</t>
        </is>
      </c>
    </row>
    <row r="81">
      <c r="A81" s="47" t="n">
        <v>46273</v>
      </c>
      <c r="B81" s="1" t="inlineStr">
        <is>
          <t>0145-BC-SHEA/NAP-2026</t>
        </is>
      </c>
      <c r="C81" s="22" t="n">
        <v>1077</v>
      </c>
      <c r="D81" s="1" t="inlineStr">
        <is>
          <t>FRS00035</t>
        </is>
      </c>
      <c r="E81" s="3">
        <f>_xlfn.XLOOKUP(D81,'CODE FRS'!B:B,'CODE FRS'!C:C)</f>
        <v/>
      </c>
      <c r="F81" s="2" t="inlineStr">
        <is>
          <t>CD9875RB/CD9877RB</t>
        </is>
      </c>
      <c r="G81" s="2" t="n">
        <v>35627</v>
      </c>
      <c r="H81" s="4" t="n">
        <v>32000</v>
      </c>
      <c r="I81" s="4" t="n">
        <v>320</v>
      </c>
      <c r="J81" s="4" t="n">
        <v>335</v>
      </c>
      <c r="K81" s="4">
        <f>H81*J81</f>
        <v/>
      </c>
      <c r="L81" s="4" t="n">
        <v>10720000</v>
      </c>
      <c r="M81" s="4">
        <f>K81-L81</f>
        <v/>
      </c>
      <c r="N81" s="2">
        <f t="array" ref="N81">_xlfn.IFNA(_xlfn.IFS(M81=0,"PAYE",K81=M81,"NON PAYE"),"PARTIEL")</f>
        <v/>
      </c>
      <c r="O81" s="23" t="inlineStr">
        <is>
          <t>CHQ-0220-2026</t>
        </is>
      </c>
      <c r="P81" s="23" t="inlineStr">
        <is>
          <t>DECHARGE</t>
        </is>
      </c>
      <c r="Q81" s="26" t="inlineStr">
        <is>
          <t>GDIZ</t>
        </is>
      </c>
    </row>
    <row r="82">
      <c r="A82" s="47" t="n">
        <v>46273</v>
      </c>
      <c r="B82" s="1" t="inlineStr">
        <is>
          <t>0111-BC-SHEA/NAP-2026</t>
        </is>
      </c>
      <c r="C82" s="22" t="n">
        <v>1078</v>
      </c>
      <c r="D82" s="1" t="inlineStr">
        <is>
          <t>FRS00034</t>
        </is>
      </c>
      <c r="E82" s="3">
        <f>_xlfn.XLOOKUP(D82,'CODE FRS'!B:B,'CODE FRS'!C:C)</f>
        <v/>
      </c>
      <c r="F82" s="2" t="inlineStr">
        <is>
          <t>CD6560RB/AS9619RB</t>
        </is>
      </c>
      <c r="G82" s="2" t="n">
        <v>35640</v>
      </c>
      <c r="H82" s="4" t="n">
        <v>38820</v>
      </c>
      <c r="I82" s="4" t="n">
        <v>412</v>
      </c>
      <c r="J82" s="4" t="n">
        <v>335</v>
      </c>
      <c r="K82" s="4">
        <f>H82*J82</f>
        <v/>
      </c>
      <c r="L82" s="4" t="n">
        <v>13004700</v>
      </c>
      <c r="M82" s="4">
        <f>K82-L82</f>
        <v/>
      </c>
      <c r="N82" s="2">
        <f t="array" ref="N82">_xlfn.IFNA(_xlfn.IFS(M82=0,"PAYE",K82=M82,"NON PAYE"),"PARTIEL")</f>
        <v/>
      </c>
      <c r="O82" s="23" t="inlineStr">
        <is>
          <t>CHQ-0229-2026</t>
        </is>
      </c>
      <c r="P82" s="23" t="inlineStr">
        <is>
          <t>DECHARGE</t>
        </is>
      </c>
      <c r="Q82" s="26" t="inlineStr">
        <is>
          <t>GDIZ</t>
        </is>
      </c>
    </row>
    <row r="83">
      <c r="A83" s="47" t="n">
        <v>46273</v>
      </c>
      <c r="B83" s="1" t="inlineStr">
        <is>
          <t>0130-BC-SHEA/NAP-2026</t>
        </is>
      </c>
      <c r="C83" s="22" t="n">
        <v>1079</v>
      </c>
      <c r="D83" s="1" t="inlineStr">
        <is>
          <t>FRS00020</t>
        </is>
      </c>
      <c r="E83" s="3">
        <f>_xlfn.XLOOKUP(D83,'CODE FRS'!B:B,'CODE FRS'!C:C)</f>
        <v/>
      </c>
      <c r="F83" s="2" t="inlineStr">
        <is>
          <t>CL6144RB/CL6145RB</t>
        </is>
      </c>
      <c r="G83" s="2" t="n">
        <v>35619</v>
      </c>
      <c r="H83" s="4" t="n">
        <v>50360</v>
      </c>
      <c r="I83" s="4" t="n">
        <v>506</v>
      </c>
      <c r="J83" s="4" t="n">
        <v>335</v>
      </c>
      <c r="K83" s="4">
        <f>H83*J83</f>
        <v/>
      </c>
      <c r="L83" s="4" t="n">
        <v>16870600</v>
      </c>
      <c r="M83" s="4">
        <f>K83-L83</f>
        <v/>
      </c>
      <c r="N83" s="2">
        <f t="array" ref="N83">_xlfn.IFNA(_xlfn.IFS(M83=0,"PAYE",K83=M83,"NON PAYE"),"PARTIEL")</f>
        <v/>
      </c>
      <c r="O83" s="23" t="inlineStr">
        <is>
          <t>CHQ-0239-2026</t>
        </is>
      </c>
      <c r="P83" s="23" t="inlineStr">
        <is>
          <t>DECHARGE</t>
        </is>
      </c>
      <c r="Q83" s="26" t="inlineStr">
        <is>
          <t>GDIZ</t>
        </is>
      </c>
    </row>
    <row r="84">
      <c r="A84" s="47" t="n">
        <v>46273</v>
      </c>
      <c r="B84" s="1" t="inlineStr">
        <is>
          <t>0150-BC-SHEA/NAP-2026</t>
        </is>
      </c>
      <c r="C84" s="22" t="n">
        <v>1080</v>
      </c>
      <c r="D84" s="1" t="inlineStr">
        <is>
          <t>FRS00041</t>
        </is>
      </c>
      <c r="E84" s="3">
        <f>_xlfn.XLOOKUP(D84,'CODE FRS'!B:B,'CODE FRS'!C:C)</f>
        <v/>
      </c>
      <c r="F84" s="2" t="inlineStr">
        <is>
          <t>BU0866RB/AG7735RB</t>
        </is>
      </c>
      <c r="G84" s="2" t="n">
        <v>35647</v>
      </c>
      <c r="H84" s="4" t="n">
        <v>36540</v>
      </c>
      <c r="I84" s="4" t="n">
        <v>400</v>
      </c>
      <c r="J84" s="4" t="n">
        <v>335</v>
      </c>
      <c r="K84" s="4">
        <f>H84*J84</f>
        <v/>
      </c>
      <c r="L84" s="4" t="n">
        <v>12240900</v>
      </c>
      <c r="M84" s="4">
        <f>K84-L84</f>
        <v/>
      </c>
      <c r="N84" s="2">
        <f t="array" ref="N84">_xlfn.IFNA(_xlfn.IFS(M84=0,"PAYE",K84=M84,"NON PAYE"),"PARTIEL")</f>
        <v/>
      </c>
      <c r="O84" s="23" t="inlineStr">
        <is>
          <t>CHQ-0237-2026</t>
        </is>
      </c>
      <c r="P84" s="23" t="inlineStr">
        <is>
          <t>DECHARGE</t>
        </is>
      </c>
      <c r="Q84" s="26" t="inlineStr">
        <is>
          <t>GDIZ</t>
        </is>
      </c>
    </row>
    <row r="85">
      <c r="A85" s="47" t="n">
        <v>46273</v>
      </c>
      <c r="B85" s="1" t="inlineStr">
        <is>
          <t>0149-BC-SHEA/NAP-2026</t>
        </is>
      </c>
      <c r="C85" s="22" t="n">
        <v>1081</v>
      </c>
      <c r="D85" s="1" t="inlineStr">
        <is>
          <t>FRS00017</t>
        </is>
      </c>
      <c r="E85" s="3">
        <f>_xlfn.XLOOKUP(D85,'CODE FRS'!B:B,'CODE FRS'!C:C)</f>
        <v/>
      </c>
      <c r="F85" s="2" t="inlineStr">
        <is>
          <t>BD8254RB/BR3877RB</t>
        </is>
      </c>
      <c r="G85" s="2" t="n">
        <v>35642</v>
      </c>
      <c r="H85" s="4" t="n">
        <v>38520</v>
      </c>
      <c r="I85" s="4" t="n">
        <v>448</v>
      </c>
      <c r="J85" s="4" t="n">
        <v>333</v>
      </c>
      <c r="K85" s="4">
        <f>H85*J85</f>
        <v/>
      </c>
      <c r="L85" s="4" t="n">
        <v>12827160</v>
      </c>
      <c r="M85" s="4">
        <f>K85-L85</f>
        <v/>
      </c>
      <c r="N85" s="2">
        <f t="array" ref="N85">_xlfn.IFNA(_xlfn.IFS(M85=0,"PAYE",K85=M85,"NON PAYE"),"PARTIEL")</f>
        <v/>
      </c>
      <c r="O85" s="23" t="inlineStr">
        <is>
          <t>CHQ-0235-2026</t>
        </is>
      </c>
      <c r="P85" s="23" t="inlineStr">
        <is>
          <t>DECHARGE</t>
        </is>
      </c>
      <c r="Q85" s="26" t="inlineStr">
        <is>
          <t>GDIZ</t>
        </is>
      </c>
    </row>
    <row r="86">
      <c r="A86" s="47" t="n">
        <v>46273</v>
      </c>
      <c r="B86" s="25" t="n"/>
      <c r="C86" s="22" t="n">
        <v>1082</v>
      </c>
      <c r="D86" s="1" t="inlineStr">
        <is>
          <t>FRS00010</t>
        </is>
      </c>
      <c r="E86" s="3">
        <f>_xlfn.XLOOKUP(D86,'CODE FRS'!B:B,'CODE FRS'!C:C)</f>
        <v/>
      </c>
      <c r="F86" s="2" t="inlineStr">
        <is>
          <t>BX8310RB/BX9639RB</t>
        </is>
      </c>
      <c r="G86" s="2" t="n">
        <v>35646</v>
      </c>
      <c r="H86" s="4" t="n">
        <v>45000</v>
      </c>
      <c r="I86" s="4" t="n">
        <v>481</v>
      </c>
      <c r="J86" s="4" t="n">
        <v>335</v>
      </c>
      <c r="K86" s="4">
        <f>H86*J86</f>
        <v/>
      </c>
      <c r="L86" s="4" t="n">
        <v>15075000</v>
      </c>
      <c r="M86" s="4">
        <f>K86-L86</f>
        <v/>
      </c>
      <c r="N86" s="2">
        <f t="array" ref="N86">_xlfn.IFNA(_xlfn.IFS(M86=0,"PAYE",K86=M86,"NON PAYE"),"PARTIEL")</f>
        <v/>
      </c>
      <c r="O86" s="23" t="inlineStr">
        <is>
          <t>CHQ-0238-2026</t>
        </is>
      </c>
      <c r="P86" s="23" t="inlineStr">
        <is>
          <t>DECHARGE</t>
        </is>
      </c>
      <c r="Q86" s="26" t="inlineStr">
        <is>
          <t>GDIZ</t>
        </is>
      </c>
    </row>
    <row r="87">
      <c r="A87" s="47" t="n">
        <v>46273</v>
      </c>
      <c r="B87" s="1" t="inlineStr">
        <is>
          <t>0116-BC-SHEA/NAP-2026</t>
        </is>
      </c>
      <c r="C87" s="22" t="n">
        <v>1083</v>
      </c>
      <c r="D87" s="1" t="inlineStr">
        <is>
          <t>FRS00021</t>
        </is>
      </c>
      <c r="E87" s="3">
        <f>_xlfn.XLOOKUP(D87,'CODE FRS'!B:B,'CODE FRS'!C:C)</f>
        <v/>
      </c>
      <c r="F87" s="2" t="inlineStr">
        <is>
          <t>BA6457RB/AE5394RB</t>
        </is>
      </c>
      <c r="G87" s="2" t="n">
        <v>35628</v>
      </c>
      <c r="H87" s="4" t="n">
        <v>41300</v>
      </c>
      <c r="I87" s="4" t="n">
        <v>433</v>
      </c>
      <c r="J87" s="4" t="n">
        <v>332</v>
      </c>
      <c r="K87" s="4">
        <f>H87*J87</f>
        <v/>
      </c>
      <c r="L87" s="4" t="n">
        <v>13711600</v>
      </c>
      <c r="M87" s="4">
        <f>K87-L87</f>
        <v/>
      </c>
      <c r="N87" s="2">
        <f t="array" ref="N87">_xlfn.IFNA(_xlfn.IFS(M87=0,"PAYE",K87=M87,"NON PAYE"),"PARTIEL")</f>
        <v/>
      </c>
      <c r="O87" s="23" t="inlineStr">
        <is>
          <t>CHQ-0233-2026</t>
        </is>
      </c>
      <c r="P87" s="23" t="inlineStr">
        <is>
          <t>DECHARGE</t>
        </is>
      </c>
      <c r="Q87" s="26" t="inlineStr">
        <is>
          <t>GDIZ</t>
        </is>
      </c>
    </row>
    <row r="88">
      <c r="A88" s="47" t="n">
        <v>46274</v>
      </c>
      <c r="B88" s="36" t="inlineStr">
        <is>
          <t>0114-BC-SHEA/NAP-2026</t>
        </is>
      </c>
      <c r="C88" s="22" t="n">
        <v>1084</v>
      </c>
      <c r="D88" s="1" t="inlineStr">
        <is>
          <t>FRS00016</t>
        </is>
      </c>
      <c r="E88" s="37">
        <f>_xlfn.XLOOKUP(D88,'CODE FRS'!B:B,'CODE FRS'!C:C)</f>
        <v/>
      </c>
      <c r="F88" s="35" t="inlineStr">
        <is>
          <t>CB2771RB/BV2923RB</t>
        </is>
      </c>
      <c r="G88" s="35" t="n">
        <v>35654</v>
      </c>
      <c r="H88" s="38" t="n">
        <v>44320</v>
      </c>
      <c r="I88" s="38" t="n">
        <v>412</v>
      </c>
      <c r="J88" s="38" t="n">
        <v>340</v>
      </c>
      <c r="K88" s="38">
        <f>H88*J88</f>
        <v/>
      </c>
      <c r="L88" s="4" t="n">
        <v>15068800</v>
      </c>
      <c r="M88" s="38">
        <f>K88-L88</f>
        <v/>
      </c>
      <c r="N88" s="35">
        <f t="array" ref="N88">_xlfn.IFNA(_xlfn.IFS(M88=0,"PAYE",K88=M88,"NON PAYE"),"PARTIEL")</f>
        <v/>
      </c>
      <c r="O88" s="39" t="inlineStr">
        <is>
          <t>CHQ-0254-2026</t>
        </is>
      </c>
      <c r="P88" s="23" t="inlineStr">
        <is>
          <t>DECHARGE</t>
        </is>
      </c>
      <c r="Q88" s="26" t="inlineStr">
        <is>
          <t>GDIZ</t>
        </is>
      </c>
    </row>
    <row r="89">
      <c r="A89" s="47" t="n">
        <v>46274</v>
      </c>
      <c r="B89" s="36" t="inlineStr">
        <is>
          <t>0138-BC-SHEA/NAP-2026</t>
        </is>
      </c>
      <c r="C89" s="22" t="n">
        <v>1085</v>
      </c>
      <c r="D89" s="1" t="inlineStr">
        <is>
          <t>FRS00020</t>
        </is>
      </c>
      <c r="E89" s="37">
        <f>_xlfn.XLOOKUP(D89,'CODE FRS'!B:B,'CODE FRS'!C:C)</f>
        <v/>
      </c>
      <c r="F89" s="35" t="inlineStr">
        <is>
          <t>CE3529RB/AE7747RB</t>
        </is>
      </c>
      <c r="G89" s="35" t="n">
        <v>35652</v>
      </c>
      <c r="H89" s="38" t="n">
        <v>39980</v>
      </c>
      <c r="I89" s="38" t="n">
        <v>440</v>
      </c>
      <c r="J89" s="38" t="n">
        <v>335</v>
      </c>
      <c r="K89" s="38">
        <f>H89*J89</f>
        <v/>
      </c>
      <c r="L89" s="4" t="n">
        <v>13393300</v>
      </c>
      <c r="M89" s="38">
        <f>K89-L89</f>
        <v/>
      </c>
      <c r="N89" s="35">
        <f t="array" ref="N89">_xlfn.IFNA(_xlfn.IFS(M89=0,"PAYE",K89=M89,"NON PAYE"),"PARTIEL")</f>
        <v/>
      </c>
      <c r="O89" s="39" t="inlineStr">
        <is>
          <t>CHQ-0256-2026</t>
        </is>
      </c>
      <c r="P89" s="23" t="inlineStr">
        <is>
          <t>DECHARGE</t>
        </is>
      </c>
      <c r="Q89" s="26" t="inlineStr">
        <is>
          <t>GDIZ</t>
        </is>
      </c>
    </row>
    <row r="90">
      <c r="A90" s="47" t="n">
        <v>46274</v>
      </c>
      <c r="B90" s="36" t="inlineStr">
        <is>
          <t>0159-BC-SHEA/NAP-2026</t>
        </is>
      </c>
      <c r="C90" s="22" t="n">
        <v>1086</v>
      </c>
      <c r="D90" s="36" t="inlineStr">
        <is>
          <t>FRS00009</t>
        </is>
      </c>
      <c r="E90" s="37">
        <f>_xlfn.XLOOKUP(D90,'CODE FRS'!B:B,'CODE FRS'!C:C)</f>
        <v/>
      </c>
      <c r="F90" s="35" t="inlineStr">
        <is>
          <t>BX9920RB/BM9472RB</t>
        </is>
      </c>
      <c r="G90" s="35" t="n">
        <v>35650</v>
      </c>
      <c r="H90" s="38" t="n">
        <v>32720</v>
      </c>
      <c r="I90" s="38" t="n">
        <v>371</v>
      </c>
      <c r="J90" s="38" t="n">
        <v>335</v>
      </c>
      <c r="K90" s="38">
        <f>H90*J90</f>
        <v/>
      </c>
      <c r="L90" s="4" t="n">
        <v>10961200</v>
      </c>
      <c r="M90" s="38">
        <f>K90-L90</f>
        <v/>
      </c>
      <c r="N90" s="35">
        <f t="array" ref="N90">_xlfn.IFNA(_xlfn.IFS(M90=0,"PAYE",K90=M90,"NON PAYE"),"PARTIEL")</f>
        <v/>
      </c>
      <c r="O90" s="39" t="inlineStr">
        <is>
          <t>CHQ-0228-2026</t>
        </is>
      </c>
      <c r="P90" s="23" t="inlineStr">
        <is>
          <t>DECHARGE</t>
        </is>
      </c>
      <c r="Q90" s="26" t="inlineStr">
        <is>
          <t>GDIZ</t>
        </is>
      </c>
    </row>
    <row r="91">
      <c r="A91" s="47" t="n">
        <v>46274</v>
      </c>
      <c r="B91" s="36" t="inlineStr">
        <is>
          <t>0091-BC-SHEA/NAP-2026</t>
        </is>
      </c>
      <c r="C91" s="22" t="n">
        <v>1087</v>
      </c>
      <c r="D91" s="1" t="inlineStr">
        <is>
          <t>FRS00021</t>
        </is>
      </c>
      <c r="E91" s="37">
        <f>_xlfn.XLOOKUP(D91,'CODE FRS'!B:B,'CODE FRS'!C:C)</f>
        <v/>
      </c>
      <c r="F91" s="35" t="inlineStr">
        <is>
          <t>BP2914RB/T8377RB</t>
        </is>
      </c>
      <c r="G91" s="35" t="n">
        <v>35651</v>
      </c>
      <c r="H91" s="38" t="n">
        <v>43540</v>
      </c>
      <c r="I91" s="38" t="n">
        <v>507</v>
      </c>
      <c r="J91" s="38" t="n">
        <v>332</v>
      </c>
      <c r="K91" s="38">
        <f>H91*J91</f>
        <v/>
      </c>
      <c r="L91" s="4">
        <f>10000000+4515500</f>
        <v/>
      </c>
      <c r="M91" s="38">
        <f>K91-L91</f>
        <v/>
      </c>
      <c r="N91" s="35">
        <f t="array" ref="N91">_xlfn.IFNA(_xlfn.IFS(M91=0,"PAYE",K91=M91,"NON PAYE"),"PARTIEL")</f>
        <v/>
      </c>
      <c r="O91" s="39" t="inlineStr">
        <is>
          <t>CHQ-0244-2026 &amp; CHQ-0253-2026</t>
        </is>
      </c>
      <c r="P91" s="23" t="inlineStr">
        <is>
          <t>DECHARGE</t>
        </is>
      </c>
      <c r="Q91" s="26" t="inlineStr">
        <is>
          <t>GDIZ</t>
        </is>
      </c>
    </row>
    <row r="92">
      <c r="A92" s="47" t="n">
        <v>46275</v>
      </c>
      <c r="B92" s="36" t="inlineStr">
        <is>
          <t>0167-BC-SHEA/NAP-2026</t>
        </is>
      </c>
      <c r="C92" s="22" t="n">
        <v>1088</v>
      </c>
      <c r="D92" s="36" t="inlineStr">
        <is>
          <t>FRS00015</t>
        </is>
      </c>
      <c r="E92" s="37">
        <f>_xlfn.XLOOKUP(D92,'CODE FRS'!B:B,'CODE FRS'!C:C)</f>
        <v/>
      </c>
      <c r="F92" s="35" t="inlineStr">
        <is>
          <t>BM6378RB/BJ0689RB</t>
        </is>
      </c>
      <c r="G92" s="35" t="n">
        <v>35681</v>
      </c>
      <c r="H92" s="38" t="n">
        <v>47700</v>
      </c>
      <c r="I92" s="38" t="n">
        <v>468</v>
      </c>
      <c r="J92" s="38" t="n">
        <v>335</v>
      </c>
      <c r="K92" s="38">
        <f>H92*J92</f>
        <v/>
      </c>
      <c r="L92" s="4">
        <f>9000000+6979500</f>
        <v/>
      </c>
      <c r="M92" s="38">
        <f>K92-L92</f>
        <v/>
      </c>
      <c r="N92" s="35">
        <f t="array" ref="N92">_xlfn.IFNA(_xlfn.IFS(M92=0,"PAYE",K92=M92,"NON PAYE"),"PARTIEL")</f>
        <v/>
      </c>
      <c r="O92" s="39" t="inlineStr">
        <is>
          <t>CHQ-0240-2026  &amp; CHQ-0264-2026</t>
        </is>
      </c>
      <c r="P92" s="23" t="inlineStr">
        <is>
          <t>DECHARGE</t>
        </is>
      </c>
      <c r="Q92" s="26" t="inlineStr">
        <is>
          <t>GDIZ</t>
        </is>
      </c>
    </row>
    <row r="93">
      <c r="A93" s="47" t="n">
        <v>46275</v>
      </c>
      <c r="B93" s="40" t="n"/>
      <c r="C93" s="22" t="n">
        <v>1089</v>
      </c>
      <c r="D93" s="36" t="inlineStr">
        <is>
          <t>FRS00033</t>
        </is>
      </c>
      <c r="E93" s="37">
        <f>_xlfn.XLOOKUP(D93,'CODE FRS'!B:B,'CODE FRS'!C:C)</f>
        <v/>
      </c>
      <c r="F93" s="35" t="inlineStr">
        <is>
          <t>CC0530RB/Y4535RB</t>
        </is>
      </c>
      <c r="G93" s="35" t="n">
        <v>35687</v>
      </c>
      <c r="H93" s="38" t="n">
        <v>38800</v>
      </c>
      <c r="I93" s="38" t="n">
        <v>420</v>
      </c>
      <c r="J93" s="38" t="n">
        <v>331</v>
      </c>
      <c r="K93" s="38">
        <f>H93*J93</f>
        <v/>
      </c>
      <c r="L93" s="4" t="n">
        <v>12842800</v>
      </c>
      <c r="M93" s="38">
        <f>K93-L93</f>
        <v/>
      </c>
      <c r="N93" s="35">
        <f t="array" ref="N93">_xlfn.IFNA(_xlfn.IFS(M93=0,"PAYE",K93=M93,"NON PAYE"),"PARTIEL")</f>
        <v/>
      </c>
      <c r="O93" s="39" t="inlineStr">
        <is>
          <t>CHQ-0251-2026</t>
        </is>
      </c>
      <c r="P93" s="23" t="inlineStr">
        <is>
          <t>DECHARGE</t>
        </is>
      </c>
      <c r="Q93" s="26" t="inlineStr">
        <is>
          <t>GDIZ</t>
        </is>
      </c>
    </row>
    <row r="94">
      <c r="A94" s="47" t="n">
        <v>46275</v>
      </c>
      <c r="B94" s="40" t="n"/>
      <c r="C94" s="22" t="n">
        <v>1090</v>
      </c>
      <c r="D94" s="36" t="inlineStr">
        <is>
          <t>FRS00045</t>
        </is>
      </c>
      <c r="E94" s="37">
        <f>_xlfn.XLOOKUP(D94,'CODE FRS'!B:B,'CODE FRS'!C:C)</f>
        <v/>
      </c>
      <c r="F94" s="35" t="inlineStr">
        <is>
          <t>CK6287RB/CK6523RB</t>
        </is>
      </c>
      <c r="G94" s="35" t="n">
        <v>35708</v>
      </c>
      <c r="H94" s="38" t="n">
        <v>44120</v>
      </c>
      <c r="I94" s="38" t="n">
        <v>487</v>
      </c>
      <c r="J94" s="38" t="n">
        <v>331</v>
      </c>
      <c r="K94" s="38">
        <f>H94*J94</f>
        <v/>
      </c>
      <c r="L94" s="4" t="n">
        <v>14603720</v>
      </c>
      <c r="M94" s="38">
        <f>K94-L94</f>
        <v/>
      </c>
      <c r="N94" s="35">
        <f t="array" ref="N94">_xlfn.IFNA(_xlfn.IFS(M94=0,"PAYE",K94=M94,"NON PAYE"),"PARTIEL")</f>
        <v/>
      </c>
      <c r="O94" s="39" t="inlineStr">
        <is>
          <t>CHQ-0250-2026</t>
        </is>
      </c>
      <c r="P94" s="23" t="inlineStr">
        <is>
          <t>DECHARGE</t>
        </is>
      </c>
      <c r="Q94" s="26" t="inlineStr">
        <is>
          <t>GDIZ</t>
        </is>
      </c>
    </row>
    <row r="95">
      <c r="A95" s="47" t="n">
        <v>46275</v>
      </c>
      <c r="B95" s="36" t="inlineStr">
        <is>
          <t>0134-BC-SHEA/NAP-2026</t>
        </is>
      </c>
      <c r="C95" s="22" t="n">
        <v>1091</v>
      </c>
      <c r="D95" s="36" t="inlineStr">
        <is>
          <t>FRS00022</t>
        </is>
      </c>
      <c r="E95" s="37">
        <f>_xlfn.XLOOKUP(D95,'CODE FRS'!B:B,'CODE FRS'!C:C)</f>
        <v/>
      </c>
      <c r="F95" s="35" t="inlineStr">
        <is>
          <t>BV9692RB/BV9811RB</t>
        </is>
      </c>
      <c r="G95" s="35" t="n">
        <v>35709</v>
      </c>
      <c r="H95" s="38" t="n">
        <v>44260</v>
      </c>
      <c r="I95" s="38" t="n">
        <v>406</v>
      </c>
      <c r="J95" s="38" t="n">
        <v>335</v>
      </c>
      <c r="K95" s="38">
        <f>H95*J95</f>
        <v/>
      </c>
      <c r="L95" s="4">
        <f>10000000+4827100</f>
        <v/>
      </c>
      <c r="M95" s="38">
        <f>K95-L95</f>
        <v/>
      </c>
      <c r="N95" s="35">
        <f t="array" ref="N95">_xlfn.IFNA(_xlfn.IFS(M95=0,"PAYE",K95=M95,"NON PAYE"),"PARTIEL")</f>
        <v/>
      </c>
      <c r="O95" s="39" t="inlineStr">
        <is>
          <t>CHQ-0246-2026 &amp; CHQ-0249-2026</t>
        </is>
      </c>
      <c r="P95" s="23" t="inlineStr">
        <is>
          <t>DECHARGE</t>
        </is>
      </c>
      <c r="Q95" s="26" t="inlineStr">
        <is>
          <t>GDIZ</t>
        </is>
      </c>
    </row>
    <row r="96">
      <c r="A96" s="47" t="n">
        <v>46275</v>
      </c>
      <c r="B96" s="40" t="n"/>
      <c r="C96" s="22" t="n">
        <v>1092</v>
      </c>
      <c r="D96" s="36" t="inlineStr">
        <is>
          <t>FRS00026</t>
        </is>
      </c>
      <c r="E96" s="37">
        <f>_xlfn.XLOOKUP(D96,'CODE FRS'!B:B,'CODE FRS'!C:C)</f>
        <v/>
      </c>
      <c r="F96" s="35" t="inlineStr">
        <is>
          <t>BE4715RB/AD0539RB</t>
        </is>
      </c>
      <c r="G96" s="35" t="n">
        <v>35679</v>
      </c>
      <c r="H96" s="38" t="n">
        <v>48000</v>
      </c>
      <c r="I96" s="38" t="n">
        <v>460</v>
      </c>
      <c r="J96" s="38" t="n">
        <v>332</v>
      </c>
      <c r="K96" s="38">
        <f>H96*J96</f>
        <v/>
      </c>
      <c r="L96" s="4" t="n">
        <v>15936000</v>
      </c>
      <c r="M96" s="38">
        <f>K96-L96</f>
        <v/>
      </c>
      <c r="N96" s="35">
        <f t="array" ref="N96">_xlfn.IFNA(_xlfn.IFS(M96=0,"PAYE",K96=M96,"NON PAYE"),"PARTIEL")</f>
        <v/>
      </c>
      <c r="O96" s="39" t="inlineStr">
        <is>
          <t>CHQ-0258-2026</t>
        </is>
      </c>
      <c r="P96" s="23" t="inlineStr">
        <is>
          <t>DECHARGE</t>
        </is>
      </c>
      <c r="Q96" s="26" t="inlineStr">
        <is>
          <t>GDIZ</t>
        </is>
      </c>
    </row>
    <row r="97">
      <c r="A97" s="47" t="n">
        <v>46275</v>
      </c>
      <c r="B97" s="36" t="inlineStr">
        <is>
          <t>0160-BC-SHEA/NAP-2026</t>
        </is>
      </c>
      <c r="C97" s="22" t="n">
        <v>1093</v>
      </c>
      <c r="D97" s="36" t="inlineStr">
        <is>
          <t>FRS00009</t>
        </is>
      </c>
      <c r="E97" s="37">
        <f>_xlfn.XLOOKUP(D97,'CODE FRS'!B:B,'CODE FRS'!C:C)</f>
        <v/>
      </c>
      <c r="F97" s="35" t="inlineStr">
        <is>
          <t>CA6600RB/CA8326RB</t>
        </is>
      </c>
      <c r="G97" s="35" t="n">
        <v>35678</v>
      </c>
      <c r="H97" s="38" t="n">
        <v>40960</v>
      </c>
      <c r="I97" s="38" t="n">
        <v>465</v>
      </c>
      <c r="J97" s="38" t="n">
        <v>335</v>
      </c>
      <c r="K97" s="38">
        <f>H97*J97</f>
        <v/>
      </c>
      <c r="L97" s="4">
        <f>7000000+6721600</f>
        <v/>
      </c>
      <c r="M97" s="38">
        <f>K97-L97</f>
        <v/>
      </c>
      <c r="N97" s="35">
        <f t="array" ref="N97">_xlfn.IFNA(_xlfn.IFS(M97=0,"PAYE",K97=M97,"NON PAYE"),"PARTIEL")</f>
        <v/>
      </c>
      <c r="O97" s="52" t="inlineStr">
        <is>
          <t>CHQ-0242-2026 &amp; CHQ-0262-2026</t>
        </is>
      </c>
      <c r="P97" s="23" t="inlineStr">
        <is>
          <t>DECHARGE</t>
        </is>
      </c>
      <c r="Q97" s="26" t="inlineStr">
        <is>
          <t>GDIZ</t>
        </is>
      </c>
    </row>
    <row r="98">
      <c r="A98" s="47" t="n">
        <v>46275</v>
      </c>
      <c r="B98" s="36" t="inlineStr">
        <is>
          <t>0168-BC-SHEA/NAP-2026</t>
        </is>
      </c>
      <c r="C98" s="22" t="n">
        <v>1094</v>
      </c>
      <c r="D98" s="36" t="inlineStr">
        <is>
          <t>FRS00032</t>
        </is>
      </c>
      <c r="E98" s="37">
        <f>_xlfn.XLOOKUP(D98,'CODE FRS'!B:B,'CODE FRS'!C:C)</f>
        <v/>
      </c>
      <c r="F98" s="35" t="inlineStr">
        <is>
          <t>BD4361RB/BV3227RB</t>
        </is>
      </c>
      <c r="G98" s="35" t="n">
        <v>35680</v>
      </c>
      <c r="H98" s="38" t="n">
        <v>39880</v>
      </c>
      <c r="I98" s="38" t="n">
        <v>411</v>
      </c>
      <c r="J98" s="38" t="n">
        <v>335</v>
      </c>
      <c r="K98" s="38">
        <f>H98*J98</f>
        <v/>
      </c>
      <c r="L98" s="4" t="n">
        <v>13359800</v>
      </c>
      <c r="M98" s="38">
        <f>K98-L98</f>
        <v/>
      </c>
      <c r="N98" s="35">
        <f t="array" ref="N98">_xlfn.IFNA(_xlfn.IFS(M98=0,"PAYE",K98=M98,"NON PAYE"),"PARTIEL")</f>
        <v/>
      </c>
      <c r="O98" s="39" t="inlineStr">
        <is>
          <t>CHQ-0248-2026</t>
        </is>
      </c>
      <c r="P98" s="23" t="inlineStr">
        <is>
          <t>DECHARGE</t>
        </is>
      </c>
      <c r="Q98" s="26" t="inlineStr">
        <is>
          <t>GDIZ</t>
        </is>
      </c>
    </row>
    <row r="99">
      <c r="A99" s="47" t="n">
        <v>46275</v>
      </c>
      <c r="B99" s="36" t="inlineStr">
        <is>
          <t>0115-BC-SHEA/NAP-2026</t>
        </is>
      </c>
      <c r="C99" s="22" t="n">
        <v>1095</v>
      </c>
      <c r="D99" s="36" t="inlineStr">
        <is>
          <t>FRS00037</t>
        </is>
      </c>
      <c r="E99" s="37">
        <f>_xlfn.XLOOKUP(D99,'CODE FRS'!B:B,'CODE FRS'!C:C)</f>
        <v/>
      </c>
      <c r="F99" s="35" t="inlineStr">
        <is>
          <t>BC6553RB/BC6554RB</t>
        </is>
      </c>
      <c r="G99" s="35" t="n">
        <v>35713</v>
      </c>
      <c r="H99" s="38" t="n">
        <v>32340</v>
      </c>
      <c r="I99" s="38" t="n">
        <v>327</v>
      </c>
      <c r="J99" s="38" t="n">
        <v>330</v>
      </c>
      <c r="K99" s="38">
        <f>H99*J99</f>
        <v/>
      </c>
      <c r="L99" s="4" t="n">
        <v>10672200</v>
      </c>
      <c r="M99" s="38">
        <f>K99-L99</f>
        <v/>
      </c>
      <c r="N99" s="35">
        <f t="array" ref="N99">_xlfn.IFNA(_xlfn.IFS(M99=0,"PAYE",K99=M99,"NON PAYE"),"PARTIEL")</f>
        <v/>
      </c>
      <c r="O99" s="39" t="inlineStr">
        <is>
          <t>CHQ-0259-2026</t>
        </is>
      </c>
      <c r="P99" s="23" t="inlineStr">
        <is>
          <t>DECHARGE</t>
        </is>
      </c>
      <c r="Q99" s="26" t="inlineStr">
        <is>
          <t>GDIZ</t>
        </is>
      </c>
    </row>
    <row r="100">
      <c r="A100" s="48" t="n">
        <v>46276</v>
      </c>
      <c r="B100" s="36" t="inlineStr">
        <is>
          <t>0169-BC-SHEA/NAP-2026</t>
        </is>
      </c>
      <c r="C100" s="41" t="n">
        <v>1096</v>
      </c>
      <c r="D100" s="36" t="inlineStr">
        <is>
          <t>FRS00004</t>
        </is>
      </c>
      <c r="E100" s="37">
        <f>_xlfn.XLOOKUP(D100,'CODE FRS'!B:B,'CODE FRS'!C:C)</f>
        <v/>
      </c>
      <c r="F100" s="35" t="inlineStr">
        <is>
          <t>CJ0436RB/BT5953RB</t>
        </is>
      </c>
      <c r="G100" s="35" t="n">
        <v>35733</v>
      </c>
      <c r="H100" s="38" t="n">
        <v>54780</v>
      </c>
      <c r="I100" s="38" t="n">
        <v>512</v>
      </c>
      <c r="J100" s="38" t="n">
        <v>340</v>
      </c>
      <c r="K100" s="38">
        <f>H100*J100</f>
        <v/>
      </c>
      <c r="L100" s="38" t="n">
        <v>18625200</v>
      </c>
      <c r="M100" s="38">
        <f>K100-L100</f>
        <v/>
      </c>
      <c r="N100" s="35">
        <f t="array" ref="N100">_xlfn.IFNA(_xlfn.IFS(M100=0,"PAYE",K100=M100,"NON PAYE"),"PARTIEL")</f>
        <v/>
      </c>
      <c r="O100" s="39" t="inlineStr">
        <is>
          <t>CHQ-0260-2026</t>
        </is>
      </c>
      <c r="P100" s="23" t="inlineStr">
        <is>
          <t>DECHARGE</t>
        </is>
      </c>
      <c r="Q100" s="26" t="inlineStr">
        <is>
          <t>GDIZ</t>
        </is>
      </c>
    </row>
    <row r="101">
      <c r="A101" s="48" t="n">
        <v>46276</v>
      </c>
      <c r="B101" s="36" t="inlineStr">
        <is>
          <t>0162-BC-SHEA/NAP-2026</t>
        </is>
      </c>
      <c r="C101" s="41" t="n">
        <v>1097</v>
      </c>
      <c r="D101" s="36" t="inlineStr">
        <is>
          <t>FRS00004</t>
        </is>
      </c>
      <c r="E101" s="37">
        <f>_xlfn.XLOOKUP(D101,'CODE FRS'!B:B,'CODE FRS'!C:C)</f>
        <v/>
      </c>
      <c r="F101" s="35" t="inlineStr">
        <is>
          <t>CH8791RB/CK0290RB</t>
        </is>
      </c>
      <c r="G101" s="35" t="n">
        <v>35734</v>
      </c>
      <c r="H101" s="38" t="n">
        <v>49760</v>
      </c>
      <c r="I101" s="38" t="n">
        <v>549</v>
      </c>
      <c r="J101" s="38" t="n">
        <v>340</v>
      </c>
      <c r="K101" s="38">
        <f>H101*J101</f>
        <v/>
      </c>
      <c r="L101" s="38" t="n">
        <v>16918400</v>
      </c>
      <c r="M101" s="38">
        <f>K101-L101</f>
        <v/>
      </c>
      <c r="N101" s="35">
        <f t="array" ref="N101">_xlfn.IFNA(_xlfn.IFS(M101=0,"PAYE",K101=M101,"NON PAYE"),"PARTIEL")</f>
        <v/>
      </c>
      <c r="O101" s="39" t="inlineStr">
        <is>
          <t>CHQ-0260-2026</t>
        </is>
      </c>
      <c r="P101" s="39" t="inlineStr">
        <is>
          <t>DECHARGE</t>
        </is>
      </c>
      <c r="Q101" s="42" t="inlineStr">
        <is>
          <t>GDIZ</t>
        </is>
      </c>
    </row>
    <row r="102">
      <c r="A102" s="47" t="n">
        <v>46276</v>
      </c>
      <c r="B102" s="1" t="inlineStr">
        <is>
          <t>0154-BC-SHEA/NAP-2026</t>
        </is>
      </c>
      <c r="C102" s="22" t="n">
        <v>1098</v>
      </c>
      <c r="D102" s="1" t="inlineStr">
        <is>
          <t>FRS00011</t>
        </is>
      </c>
      <c r="E102" s="3">
        <f>_xlfn.XLOOKUP(D102,'CODE FRS'!B:B,'CODE FRS'!C:C)</f>
        <v/>
      </c>
      <c r="F102" s="2" t="inlineStr">
        <is>
          <t>BB9217RB/AU4365RB</t>
        </is>
      </c>
      <c r="G102" s="2" t="n">
        <v>35721</v>
      </c>
      <c r="H102" s="4" t="n">
        <v>46220</v>
      </c>
      <c r="I102" s="4" t="n">
        <v>549</v>
      </c>
      <c r="J102" s="4" t="n">
        <v>330</v>
      </c>
      <c r="K102" s="4">
        <f>H102*J102</f>
        <v/>
      </c>
      <c r="L102" s="4" t="n">
        <v>15252600</v>
      </c>
      <c r="M102" s="4">
        <f>K102-L102</f>
        <v/>
      </c>
      <c r="N102" s="2">
        <f t="array" ref="N102">_xlfn.IFNA(_xlfn.IFS(M102=0,"PAYE",K102=M102,"NON PAYE"),"PARTIEL")</f>
        <v/>
      </c>
      <c r="O102" s="53" t="inlineStr">
        <is>
          <t>CHQ-0270-2026</t>
        </is>
      </c>
      <c r="P102" s="39" t="inlineStr">
        <is>
          <t>DECHARGE</t>
        </is>
      </c>
      <c r="Q102" s="42" t="inlineStr">
        <is>
          <t>GDIZ</t>
        </is>
      </c>
    </row>
    <row r="103">
      <c r="A103" s="48" t="n">
        <v>46276</v>
      </c>
      <c r="B103" s="36" t="inlineStr">
        <is>
          <t>0183-BC-SHEA/NAP-2026</t>
        </is>
      </c>
      <c r="C103" s="41" t="n">
        <v>1099</v>
      </c>
      <c r="D103" s="36" t="inlineStr">
        <is>
          <t>FRS00017</t>
        </is>
      </c>
      <c r="E103" s="37">
        <f>_xlfn.XLOOKUP(D103,'CODE FRS'!B:B,'CODE FRS'!C:C)</f>
        <v/>
      </c>
      <c r="F103" s="35" t="inlineStr">
        <is>
          <t>CC2315RB</t>
        </is>
      </c>
      <c r="G103" s="35" t="n">
        <v>35736</v>
      </c>
      <c r="H103" s="38" t="n">
        <v>16760</v>
      </c>
      <c r="I103" s="38" t="n">
        <v>157</v>
      </c>
      <c r="J103" s="38" t="n">
        <v>332</v>
      </c>
      <c r="K103" s="38">
        <f>H103*J103</f>
        <v/>
      </c>
      <c r="L103" s="38" t="n">
        <v>5564320</v>
      </c>
      <c r="M103" s="38">
        <f>K103-L103</f>
        <v/>
      </c>
      <c r="N103" s="35">
        <f t="array" ref="N103">_xlfn.IFNA(_xlfn.IFS(M103=0,"PAYE",K103=M103,"NON PAYE"),"PARTIEL")</f>
        <v/>
      </c>
      <c r="O103" s="39" t="inlineStr">
        <is>
          <t>CHQ-0255-2026</t>
        </is>
      </c>
      <c r="P103" s="39" t="inlineStr">
        <is>
          <t>DECHARGE</t>
        </is>
      </c>
      <c r="Q103" s="42" t="inlineStr">
        <is>
          <t>GDIZ</t>
        </is>
      </c>
    </row>
    <row r="104">
      <c r="A104" s="47" t="n">
        <v>46276</v>
      </c>
      <c r="B104" s="1" t="inlineStr">
        <is>
          <t>0163-BC-SHEA/NAP-2026</t>
        </is>
      </c>
      <c r="C104" s="22" t="n">
        <v>1100</v>
      </c>
      <c r="D104" s="1" t="inlineStr">
        <is>
          <t>FRS00004</t>
        </is>
      </c>
      <c r="E104" s="3">
        <f>_xlfn.XLOOKUP(D104,'CODE FRS'!B:B,'CODE FRS'!C:C)</f>
        <v/>
      </c>
      <c r="F104" s="2" t="inlineStr">
        <is>
          <t>CB6887RB/CQ0182RB</t>
        </is>
      </c>
      <c r="G104" s="2" t="n">
        <v>35735</v>
      </c>
      <c r="H104" s="4" t="n">
        <v>49700</v>
      </c>
      <c r="I104" s="4" t="n">
        <v>539</v>
      </c>
      <c r="J104" s="4" t="n">
        <v>330</v>
      </c>
      <c r="K104" s="4">
        <f>H104*J104</f>
        <v/>
      </c>
      <c r="L104" s="4" t="n">
        <v>0</v>
      </c>
      <c r="M104" s="4">
        <f>K104-L104</f>
        <v/>
      </c>
      <c r="N104" s="2">
        <f t="array" ref="N104">_xlfn.IFNA(_xlfn.IFS(M104=0,"PAYE",K104=M104,"NON PAYE"),"PARTIEL")</f>
        <v/>
      </c>
      <c r="O104" s="23" t="n"/>
      <c r="P104" s="23" t="inlineStr">
        <is>
          <t>DECHARGE</t>
        </is>
      </c>
      <c r="Q104" s="26" t="inlineStr">
        <is>
          <t>GDIZ</t>
        </is>
      </c>
    </row>
    <row r="105">
      <c r="A105" s="48" t="n">
        <v>46277</v>
      </c>
      <c r="B105" s="40" t="n"/>
      <c r="C105" s="41" t="n">
        <v>1101</v>
      </c>
      <c r="D105" s="36" t="inlineStr">
        <is>
          <t>FRS00004</t>
        </is>
      </c>
      <c r="E105" s="37">
        <f>_xlfn.XLOOKUP(D105,'CODE FRS'!B:B,'CODE FRS'!C:C)</f>
        <v/>
      </c>
      <c r="F105" s="35" t="inlineStr">
        <is>
          <t>CK2776RB/CK0348RB</t>
        </is>
      </c>
      <c r="G105" s="35" t="n">
        <v>35759</v>
      </c>
      <c r="H105" s="38" t="n">
        <v>49640</v>
      </c>
      <c r="I105" s="38" t="n">
        <v>514</v>
      </c>
      <c r="J105" s="38" t="n">
        <v>330</v>
      </c>
      <c r="K105" s="38">
        <f>H105*J105</f>
        <v/>
      </c>
      <c r="L105" s="4" t="n">
        <v>0</v>
      </c>
      <c r="M105" s="38">
        <f>K105-L105</f>
        <v/>
      </c>
      <c r="N105" s="35">
        <f t="array" ref="N105">_xlfn.IFNA(_xlfn.IFS(M105=0,"PAYE",K105=M105,"NON PAYE"),"PARTIEL")</f>
        <v/>
      </c>
      <c r="O105" s="39" t="n"/>
      <c r="P105" s="23" t="inlineStr">
        <is>
          <t>DECHARGE</t>
        </is>
      </c>
      <c r="Q105" s="26" t="inlineStr">
        <is>
          <t>GDIZ</t>
        </is>
      </c>
    </row>
    <row r="106">
      <c r="A106" s="48" t="n">
        <v>46277</v>
      </c>
      <c r="B106" s="36" t="inlineStr">
        <is>
          <t>0153-BC-SHEA/NAP-2026</t>
        </is>
      </c>
      <c r="C106" s="41" t="n">
        <v>1102</v>
      </c>
      <c r="D106" s="36" t="inlineStr">
        <is>
          <t>FRS00011</t>
        </is>
      </c>
      <c r="E106" s="37">
        <f>_xlfn.XLOOKUP(D106,'CODE FRS'!B:B,'CODE FRS'!C:C)</f>
        <v/>
      </c>
      <c r="F106" s="35" t="inlineStr">
        <is>
          <t>CA2295RB/AJ0480RB</t>
        </is>
      </c>
      <c r="G106" s="35" t="n">
        <v>35758</v>
      </c>
      <c r="H106" s="38" t="n">
        <v>45460</v>
      </c>
      <c r="I106" s="38" t="n">
        <v>536</v>
      </c>
      <c r="J106" s="38" t="n">
        <v>330</v>
      </c>
      <c r="K106" s="38">
        <f>H106*J106</f>
        <v/>
      </c>
      <c r="L106" s="4" t="n">
        <v>15001800</v>
      </c>
      <c r="M106" s="38">
        <f>K106-L106</f>
        <v/>
      </c>
      <c r="N106" s="35">
        <f t="array" ref="N106">_xlfn.IFNA(_xlfn.IFS(M106=0,"PAYE",K106=M106,"NON PAYE"),"PARTIEL")</f>
        <v/>
      </c>
      <c r="O106" s="53" t="inlineStr">
        <is>
          <t>CHQ-0275-2026</t>
        </is>
      </c>
      <c r="P106" s="23" t="inlineStr">
        <is>
          <t>DECHARGE</t>
        </is>
      </c>
      <c r="Q106" s="26" t="inlineStr">
        <is>
          <t>GDIZ</t>
        </is>
      </c>
    </row>
    <row r="107" ht="29" customHeight="1">
      <c r="A107" s="48" t="n">
        <v>46277</v>
      </c>
      <c r="B107" s="36" t="inlineStr">
        <is>
          <t>0177-BC-SHEA/NAP-2026</t>
        </is>
      </c>
      <c r="C107" s="41" t="n">
        <v>1103</v>
      </c>
      <c r="D107" s="36" t="inlineStr">
        <is>
          <t>FRS00045</t>
        </is>
      </c>
      <c r="E107" s="37">
        <f>_xlfn.XLOOKUP(D107,'CODE FRS'!B:B,'CODE FRS'!C:C)</f>
        <v/>
      </c>
      <c r="F107" s="35" t="inlineStr">
        <is>
          <t>AR4612RB/BK0674RB</t>
        </is>
      </c>
      <c r="G107" s="35" t="n">
        <v>35760</v>
      </c>
      <c r="H107" s="38" t="n">
        <v>44380</v>
      </c>
      <c r="I107" s="38" t="n">
        <v>420</v>
      </c>
      <c r="J107" s="38" t="n">
        <v>331</v>
      </c>
      <c r="K107" s="38">
        <f>H107*J107</f>
        <v/>
      </c>
      <c r="L107" s="4">
        <f>2000000+5000000+7685780</f>
        <v/>
      </c>
      <c r="M107" s="38">
        <f>K107-L107</f>
        <v/>
      </c>
      <c r="N107" s="35">
        <f t="array" ref="N107">_xlfn.IFNA(_xlfn.IFS(M107=0,"PAYE",K107=M107,"NON PAYE"),"PARTIEL")</f>
        <v/>
      </c>
      <c r="O107" s="39" t="inlineStr">
        <is>
          <t>CHQ-0245-2026  &amp; CHQ-0266-2026 &amp; CHQ-0277-2026</t>
        </is>
      </c>
      <c r="P107" s="23" t="inlineStr">
        <is>
          <t>DECHARGE</t>
        </is>
      </c>
      <c r="Q107" s="26" t="inlineStr">
        <is>
          <t>GDIZ</t>
        </is>
      </c>
    </row>
    <row r="108">
      <c r="A108" s="48" t="n">
        <v>46277</v>
      </c>
      <c r="B108" s="40" t="n"/>
      <c r="C108" s="41" t="n">
        <v>1104</v>
      </c>
      <c r="D108" s="36" t="inlineStr">
        <is>
          <t>FRS00039</t>
        </is>
      </c>
      <c r="E108" s="37">
        <f>_xlfn.XLOOKUP(D108,'CODE FRS'!B:B,'CODE FRS'!C:C)</f>
        <v/>
      </c>
      <c r="F108" s="35" t="inlineStr">
        <is>
          <t>BP0618RB/BA8940RB</t>
        </is>
      </c>
      <c r="G108" s="35" t="n">
        <v>35761</v>
      </c>
      <c r="H108" s="38" t="n">
        <v>39400</v>
      </c>
      <c r="I108" s="38" t="n">
        <v>474</v>
      </c>
      <c r="J108" s="38" t="n">
        <v>330</v>
      </c>
      <c r="K108" s="38">
        <f>H108*J108</f>
        <v/>
      </c>
      <c r="L108" s="4" t="n">
        <v>13002000</v>
      </c>
      <c r="M108" s="38">
        <f>K108-L108</f>
        <v/>
      </c>
      <c r="N108" s="35">
        <f t="array" ref="N108">_xlfn.IFNA(_xlfn.IFS(M108=0,"PAYE",K108=M108,"NON PAYE"),"PARTIEL")</f>
        <v/>
      </c>
      <c r="O108" s="39" t="inlineStr">
        <is>
          <t>CHQ-0257-2026</t>
        </is>
      </c>
      <c r="P108" s="23" t="inlineStr">
        <is>
          <t>DECHARGE</t>
        </is>
      </c>
      <c r="Q108" s="26" t="inlineStr">
        <is>
          <t>GDIZ</t>
        </is>
      </c>
    </row>
    <row r="109">
      <c r="A109" s="48" t="n">
        <v>46278</v>
      </c>
      <c r="B109" s="36" t="inlineStr">
        <is>
          <t>0174-BC-SHEA/NAP-2026</t>
        </is>
      </c>
      <c r="C109" s="41" t="n">
        <v>1105</v>
      </c>
      <c r="D109" s="36" t="inlineStr">
        <is>
          <t>FRS00004</t>
        </is>
      </c>
      <c r="E109" s="37">
        <f>_xlfn.XLOOKUP(D109,'CODE FRS'!B:B,'CODE FRS'!C:C)</f>
        <v/>
      </c>
      <c r="F109" s="35" t="inlineStr">
        <is>
          <t>CC4813RB/CD6281RB</t>
        </is>
      </c>
      <c r="G109" s="35" t="n">
        <v>35782</v>
      </c>
      <c r="H109" s="38" t="n">
        <v>49500</v>
      </c>
      <c r="I109" s="38" t="n">
        <v>534</v>
      </c>
      <c r="J109" s="38" t="n">
        <v>330</v>
      </c>
      <c r="K109" s="38">
        <f>H109*J109</f>
        <v/>
      </c>
      <c r="L109" s="4" t="n">
        <v>0</v>
      </c>
      <c r="M109" s="38">
        <f>K109-L109</f>
        <v/>
      </c>
      <c r="N109" s="35">
        <f t="array" ref="N109">_xlfn.IFNA(_xlfn.IFS(M109=0,"PAYE",K109=M109,"NON PAYE"),"PARTIEL")</f>
        <v/>
      </c>
      <c r="O109" s="39" t="n"/>
      <c r="P109" s="23" t="inlineStr">
        <is>
          <t>DECHARGE</t>
        </is>
      </c>
      <c r="Q109" s="26" t="inlineStr">
        <is>
          <t>GDIZ</t>
        </is>
      </c>
    </row>
    <row r="110">
      <c r="A110" s="48" t="n">
        <v>46278</v>
      </c>
      <c r="B110" s="36" t="inlineStr">
        <is>
          <t>0175-BC-SHEA/NAP-2026</t>
        </is>
      </c>
      <c r="C110" s="41" t="n">
        <v>1106</v>
      </c>
      <c r="D110" s="36" t="inlineStr">
        <is>
          <t>FRS00021</t>
        </is>
      </c>
      <c r="E110" s="37">
        <f>_xlfn.XLOOKUP(D110,'CODE FRS'!B:B,'CODE FRS'!C:C)</f>
        <v/>
      </c>
      <c r="F110" s="35" t="inlineStr">
        <is>
          <t>BV1233RB/CA8238RB</t>
        </is>
      </c>
      <c r="G110" s="35" t="n">
        <v>35773</v>
      </c>
      <c r="H110" s="38" t="n">
        <v>46800</v>
      </c>
      <c r="I110" s="38" t="n">
        <v>476</v>
      </c>
      <c r="J110" s="38" t="n">
        <v>332</v>
      </c>
      <c r="K110" s="38">
        <f>H110*J110</f>
        <v/>
      </c>
      <c r="L110" s="4">
        <f>5000000+10537600</f>
        <v/>
      </c>
      <c r="M110" s="38">
        <f>K110-L110</f>
        <v/>
      </c>
      <c r="N110" s="35">
        <f t="array" ref="N110">_xlfn.IFNA(_xlfn.IFS(M110=0,"PAYE",K110=M110,"NON PAYE"),"PARTIEL")</f>
        <v/>
      </c>
      <c r="O110" s="39" t="inlineStr">
        <is>
          <t>CHQ-0267-2026 &amp; CHQ-0276-2026</t>
        </is>
      </c>
      <c r="P110" s="23" t="inlineStr">
        <is>
          <t>DECHARGE</t>
        </is>
      </c>
      <c r="Q110" s="26" t="inlineStr">
        <is>
          <t>GDIZ</t>
        </is>
      </c>
    </row>
    <row r="111">
      <c r="A111" s="48" t="n">
        <v>46278</v>
      </c>
      <c r="B111" s="36" t="inlineStr">
        <is>
          <t>0140-BC-SHEA/NAP-2026</t>
        </is>
      </c>
      <c r="C111" s="41" t="n">
        <v>1107</v>
      </c>
      <c r="D111" s="36" t="inlineStr">
        <is>
          <t>FRS00001</t>
        </is>
      </c>
      <c r="E111" s="37">
        <f>_xlfn.XLOOKUP(D111,'CODE FRS'!B:B,'CODE FRS'!C:C)</f>
        <v/>
      </c>
      <c r="F111" s="35" t="inlineStr">
        <is>
          <t>BT9887RB/BE4710RB</t>
        </is>
      </c>
      <c r="G111" s="35" t="n">
        <v>35774</v>
      </c>
      <c r="H111" s="38" t="n">
        <v>44080</v>
      </c>
      <c r="I111" s="38" t="n">
        <v>438</v>
      </c>
      <c r="J111" s="38" t="n">
        <v>335</v>
      </c>
      <c r="K111" s="38">
        <f>H111*J111</f>
        <v/>
      </c>
      <c r="L111" s="4" t="n">
        <v>14766800</v>
      </c>
      <c r="M111" s="38">
        <f>K111-L111</f>
        <v/>
      </c>
      <c r="N111" s="35">
        <f t="array" ref="N111">_xlfn.IFNA(_xlfn.IFS(M111=0,"PAYE",K111=M111,"NON PAYE"),"PARTIEL")</f>
        <v/>
      </c>
      <c r="O111" s="39" t="inlineStr">
        <is>
          <t>CHQ-0265-2026</t>
        </is>
      </c>
      <c r="P111" s="23" t="inlineStr">
        <is>
          <t>DECHARGE</t>
        </is>
      </c>
      <c r="Q111" s="26" t="inlineStr">
        <is>
          <t>GDIZ</t>
        </is>
      </c>
    </row>
    <row r="112">
      <c r="A112" s="48" t="n">
        <v>46278</v>
      </c>
      <c r="B112" s="36" t="inlineStr">
        <is>
          <t>0157-BC-SHEA/NAP-2026</t>
        </is>
      </c>
      <c r="C112" s="41" t="n">
        <v>1108</v>
      </c>
      <c r="D112" s="36" t="inlineStr">
        <is>
          <t>FRS00036</t>
        </is>
      </c>
      <c r="E112" s="37">
        <f>_xlfn.XLOOKUP(D112,'CODE FRS'!B:B,'CODE FRS'!C:C)</f>
        <v/>
      </c>
      <c r="F112" s="35" t="inlineStr">
        <is>
          <t>AS6395RN/AS6381RN</t>
        </is>
      </c>
      <c r="G112" s="35" t="n">
        <v>35780</v>
      </c>
      <c r="H112" s="38" t="n">
        <v>47680</v>
      </c>
      <c r="I112" s="38" t="n">
        <v>644</v>
      </c>
      <c r="J112" s="38" t="n">
        <v>330</v>
      </c>
      <c r="K112" s="38">
        <f>H112*J112</f>
        <v/>
      </c>
      <c r="L112" s="4" t="n">
        <v>0</v>
      </c>
      <c r="M112" s="38">
        <f>K112-L112</f>
        <v/>
      </c>
      <c r="N112" s="35">
        <f t="array" ref="N112">_xlfn.IFNA(_xlfn.IFS(M112=0,"PAYE",K112=M112,"NON PAYE"),"PARTIEL")</f>
        <v/>
      </c>
      <c r="O112" s="39" t="n"/>
      <c r="P112" s="23" t="inlineStr">
        <is>
          <t>DECHARGE</t>
        </is>
      </c>
      <c r="Q112" s="26" t="inlineStr">
        <is>
          <t>GDIZ</t>
        </is>
      </c>
    </row>
    <row r="113">
      <c r="A113" s="48" t="n">
        <v>46278</v>
      </c>
      <c r="B113" s="36" t="inlineStr">
        <is>
          <t>0179-BC-SHEA/NAP-2026</t>
        </is>
      </c>
      <c r="C113" s="41" t="n">
        <v>1109</v>
      </c>
      <c r="D113" s="36" t="inlineStr">
        <is>
          <t>FRS00001</t>
        </is>
      </c>
      <c r="E113" s="37">
        <f>_xlfn.XLOOKUP(D113,'CODE FRS'!B:B,'CODE FRS'!C:C)</f>
        <v/>
      </c>
      <c r="F113" s="35" t="inlineStr">
        <is>
          <t>CE6019RB/CE6020RB</t>
        </is>
      </c>
      <c r="G113" s="35" t="n">
        <v>35779</v>
      </c>
      <c r="H113" s="38" t="n">
        <v>47880</v>
      </c>
      <c r="I113" s="38" t="n">
        <v>450</v>
      </c>
      <c r="J113" s="38" t="n">
        <v>335</v>
      </c>
      <c r="K113" s="38">
        <f>H113*J113</f>
        <v/>
      </c>
      <c r="L113" s="4" t="n">
        <v>16038400</v>
      </c>
      <c r="M113" s="38">
        <f>K113-L113</f>
        <v/>
      </c>
      <c r="N113" s="35">
        <f t="array" ref="N113">_xlfn.IFNA(_xlfn.IFS(M113=0,"PAYE",K113=M113,"NON PAYE"),"PARTIEL")</f>
        <v/>
      </c>
      <c r="O113" s="39" t="inlineStr">
        <is>
          <t>CHQ-0247-2026</t>
        </is>
      </c>
      <c r="P113" s="23" t="inlineStr">
        <is>
          <t>DECHARGE</t>
        </is>
      </c>
      <c r="Q113" s="26" t="inlineStr">
        <is>
          <t>GDIZ</t>
        </is>
      </c>
    </row>
    <row r="114">
      <c r="A114" s="48" t="n">
        <v>46278</v>
      </c>
      <c r="B114" s="36" t="inlineStr">
        <is>
          <t>0158-BC-SHEA/NAP-2026</t>
        </is>
      </c>
      <c r="C114" s="41" t="n">
        <v>1110</v>
      </c>
      <c r="D114" s="36" t="inlineStr">
        <is>
          <t>FRS00044</t>
        </is>
      </c>
      <c r="E114" s="37">
        <f>_xlfn.XLOOKUP(D114,'CODE FRS'!B:B,'CODE FRS'!C:C)</f>
        <v/>
      </c>
      <c r="F114" s="35" t="inlineStr">
        <is>
          <t>CC9004RB/BF5036RB</t>
        </is>
      </c>
      <c r="G114" s="35" t="n">
        <v>35785</v>
      </c>
      <c r="H114" s="38">
        <f>49520-450</f>
        <v/>
      </c>
      <c r="I114" s="38" t="n">
        <v>524</v>
      </c>
      <c r="J114" s="38" t="n">
        <v>335</v>
      </c>
      <c r="K114" s="38">
        <f>H114*J114</f>
        <v/>
      </c>
      <c r="L114" s="4" t="n">
        <v>16438450</v>
      </c>
      <c r="M114" s="38">
        <f>K114-L114</f>
        <v/>
      </c>
      <c r="N114" s="35">
        <f t="array" ref="N114">_xlfn.IFNA(_xlfn.IFS(M114=0,"PAYE",K114=M114,"NON PAYE"),"PARTIEL")</f>
        <v/>
      </c>
      <c r="O114" s="39" t="inlineStr">
        <is>
          <t>CHQ-0280-2026</t>
        </is>
      </c>
      <c r="P114" s="23" t="inlineStr">
        <is>
          <t>DECHARGE</t>
        </is>
      </c>
      <c r="Q114" s="26" t="inlineStr">
        <is>
          <t>GDIZ</t>
        </is>
      </c>
    </row>
    <row r="115">
      <c r="A115" s="48" t="n">
        <v>46279</v>
      </c>
      <c r="B115" s="36" t="inlineStr">
        <is>
          <t>0173-BC-SHEA/NAP-2026</t>
        </is>
      </c>
      <c r="C115" s="41" t="n">
        <v>1111</v>
      </c>
      <c r="D115" s="36" t="inlineStr">
        <is>
          <t>FRS00001</t>
        </is>
      </c>
      <c r="E115" s="37">
        <f>_xlfn.XLOOKUP(D115,'CODE FRS'!B:B,'CODE FRS'!C:C)</f>
        <v/>
      </c>
      <c r="F115" s="35" t="inlineStr">
        <is>
          <t>BT3075RB/BR9056RB</t>
        </is>
      </c>
      <c r="G115" s="35" t="n">
        <v>35839</v>
      </c>
      <c r="H115" s="38" t="n">
        <v>42900</v>
      </c>
      <c r="I115" s="38" t="n">
        <v>461</v>
      </c>
      <c r="J115" s="38" t="n">
        <v>335</v>
      </c>
      <c r="K115" s="38">
        <f>H115*J115</f>
        <v/>
      </c>
      <c r="L115" s="4" t="n">
        <v>14371500</v>
      </c>
      <c r="M115" s="38">
        <f>K115-L115</f>
        <v/>
      </c>
      <c r="N115" s="35">
        <f t="array" ref="N115">_xlfn.IFNA(_xlfn.IFS(M115=0,"PAYE",K115=M115,"NON PAYE"),"PARTIEL")</f>
        <v/>
      </c>
      <c r="O115" s="39" t="inlineStr">
        <is>
          <t>CHQ-0286-2026</t>
        </is>
      </c>
      <c r="P115" s="23" t="inlineStr">
        <is>
          <t>DECHARGE</t>
        </is>
      </c>
      <c r="Q115" s="26" t="inlineStr">
        <is>
          <t>GDIZ</t>
        </is>
      </c>
    </row>
    <row r="116">
      <c r="A116" s="48" t="n">
        <v>46279</v>
      </c>
      <c r="B116" s="36" t="inlineStr">
        <is>
          <t>0185-BC-SHEA/NAP-2026</t>
        </is>
      </c>
      <c r="C116" s="41" t="n">
        <v>1112</v>
      </c>
      <c r="D116" s="36" t="inlineStr">
        <is>
          <t>FRS00022</t>
        </is>
      </c>
      <c r="E116" s="37">
        <f>_xlfn.XLOOKUP(D116,'CODE FRS'!B:B,'CODE FRS'!C:C)</f>
        <v/>
      </c>
      <c r="F116" s="35" t="inlineStr">
        <is>
          <t>BP5945RB/BY8609RB</t>
        </is>
      </c>
      <c r="G116" s="35" t="n">
        <v>35796</v>
      </c>
      <c r="H116" s="38" t="n">
        <v>34480</v>
      </c>
      <c r="I116" s="38" t="n">
        <v>321</v>
      </c>
      <c r="J116" s="38" t="n">
        <v>335</v>
      </c>
      <c r="K116" s="38">
        <f>H116*J116</f>
        <v/>
      </c>
      <c r="L116" s="4" t="n">
        <v>11550800</v>
      </c>
      <c r="M116" s="38">
        <f>K116-L116</f>
        <v/>
      </c>
      <c r="N116" s="35">
        <f t="array" ref="N116">_xlfn.IFNA(_xlfn.IFS(M116=0,"PAYE",K116=M116,"NON PAYE"),"PARTIEL")</f>
        <v/>
      </c>
      <c r="O116" s="39" t="inlineStr">
        <is>
          <t>CHQ-0291-2026</t>
        </is>
      </c>
      <c r="P116" s="23" t="inlineStr">
        <is>
          <t>DECHARGE</t>
        </is>
      </c>
      <c r="Q116" s="26" t="inlineStr">
        <is>
          <t>GDIZ</t>
        </is>
      </c>
    </row>
    <row r="117">
      <c r="A117" s="48" t="n">
        <v>46279</v>
      </c>
      <c r="B117" s="36" t="inlineStr">
        <is>
          <t>0172-BC-SHEA/NAP-2026</t>
        </is>
      </c>
      <c r="C117" s="41" t="n">
        <v>1113</v>
      </c>
      <c r="D117" s="36" t="inlineStr">
        <is>
          <t>FRS00032</t>
        </is>
      </c>
      <c r="E117" s="37">
        <f>_xlfn.XLOOKUP(D117,'CODE FRS'!B:B,'CODE FRS'!C:C)</f>
        <v/>
      </c>
      <c r="F117" s="35" t="inlineStr">
        <is>
          <t>CH4303RB/CD2378RB</t>
        </is>
      </c>
      <c r="G117" s="35" t="n">
        <v>35803</v>
      </c>
      <c r="H117" s="38" t="n">
        <v>50920</v>
      </c>
      <c r="I117" s="38" t="n">
        <v>572</v>
      </c>
      <c r="J117" s="38" t="n">
        <v>335</v>
      </c>
      <c r="K117" s="38">
        <f>H117*J117</f>
        <v/>
      </c>
      <c r="L117" s="4" t="n">
        <v>17058200</v>
      </c>
      <c r="M117" s="38">
        <f>K117-L117</f>
        <v/>
      </c>
      <c r="N117" s="35">
        <f t="array" ref="N117">_xlfn.IFNA(_xlfn.IFS(M117=0,"PAYE",K117=M117,"NON PAYE"),"PARTIEL")</f>
        <v/>
      </c>
      <c r="O117" s="39" t="inlineStr">
        <is>
          <t>CHQ-0284-2026</t>
        </is>
      </c>
      <c r="P117" s="23" t="inlineStr">
        <is>
          <t>DECHARGE</t>
        </is>
      </c>
      <c r="Q117" s="26" t="inlineStr">
        <is>
          <t>GDIZ</t>
        </is>
      </c>
    </row>
    <row r="118">
      <c r="A118" s="48" t="n">
        <v>46279</v>
      </c>
      <c r="B118" s="36" t="inlineStr">
        <is>
          <t>0141-BC-SHEA/NAP-2026</t>
        </is>
      </c>
      <c r="C118" s="41" t="n">
        <v>1114</v>
      </c>
      <c r="D118" s="36" t="inlineStr">
        <is>
          <t>FRS00003</t>
        </is>
      </c>
      <c r="E118" s="37">
        <f>_xlfn.XLOOKUP(D118,'CODE FRS'!B:B,'CODE FRS'!C:C)</f>
        <v/>
      </c>
      <c r="F118" s="35" t="inlineStr">
        <is>
          <t>BD6541RB/BD6542RB</t>
        </is>
      </c>
      <c r="G118" s="35" t="n">
        <v>35795</v>
      </c>
      <c r="H118" s="38" t="n">
        <v>17700</v>
      </c>
      <c r="I118" s="38" t="n">
        <v>200</v>
      </c>
      <c r="J118" s="38" t="n">
        <v>335</v>
      </c>
      <c r="K118" s="38">
        <f>H118*J118</f>
        <v/>
      </c>
      <c r="L118" s="4" t="n">
        <v>5929500</v>
      </c>
      <c r="M118" s="38">
        <f>K118-L118</f>
        <v/>
      </c>
      <c r="N118" s="35">
        <f t="array" ref="N118">_xlfn.IFNA(_xlfn.IFS(M118=0,"PAYE",K118=M118,"NON PAYE"),"PARTIEL")</f>
        <v/>
      </c>
      <c r="O118" s="39" t="inlineStr">
        <is>
          <t>CHQ-0274-2026</t>
        </is>
      </c>
      <c r="P118" s="23" t="inlineStr">
        <is>
          <t>DECHARGE</t>
        </is>
      </c>
      <c r="Q118" s="26" t="inlineStr">
        <is>
          <t>GDIZ</t>
        </is>
      </c>
    </row>
    <row r="119">
      <c r="A119" s="48" t="n">
        <v>46279</v>
      </c>
      <c r="B119" s="36" t="inlineStr">
        <is>
          <t>0088-BC-SHEA/NAP-2026</t>
        </is>
      </c>
      <c r="C119" s="41" t="n">
        <v>1115</v>
      </c>
      <c r="D119" s="36" t="inlineStr">
        <is>
          <t>FRS00028</t>
        </is>
      </c>
      <c r="E119" s="37">
        <f>_xlfn.XLOOKUP(D119,'CODE FRS'!B:B,'CODE FRS'!C:C)</f>
        <v/>
      </c>
      <c r="F119" s="35" t="inlineStr">
        <is>
          <t>AV6281RB/BC4547RB</t>
        </is>
      </c>
      <c r="G119" s="35" t="n">
        <v>35840</v>
      </c>
      <c r="H119" s="38" t="n">
        <v>44120</v>
      </c>
      <c r="I119" s="38" t="n">
        <v>498</v>
      </c>
      <c r="J119" s="38" t="n">
        <v>330</v>
      </c>
      <c r="K119" s="38">
        <f>H119*J119</f>
        <v/>
      </c>
      <c r="L119" s="4" t="n">
        <v>300000</v>
      </c>
      <c r="M119" s="38">
        <f>K119-L119</f>
        <v/>
      </c>
      <c r="N119" s="35">
        <f t="array" ref="N119">_xlfn.IFNA(_xlfn.IFS(M119=0,"PAYE",K119=M119,"NON PAYE"),"PARTIEL")</f>
        <v/>
      </c>
      <c r="O119" s="39" t="inlineStr">
        <is>
          <t>CHQ-283-2026</t>
        </is>
      </c>
      <c r="P119" s="23" t="inlineStr">
        <is>
          <t>DECHARGE</t>
        </is>
      </c>
      <c r="Q119" s="26" t="inlineStr">
        <is>
          <t>GDIZ</t>
        </is>
      </c>
    </row>
    <row r="120">
      <c r="A120" s="48" t="n">
        <v>46279</v>
      </c>
      <c r="B120" s="36" t="inlineStr">
        <is>
          <t>0137-BC-SHEA/NAP-2026</t>
        </is>
      </c>
      <c r="C120" s="41" t="n">
        <v>1116</v>
      </c>
      <c r="D120" s="36" t="inlineStr">
        <is>
          <t>FRS00020</t>
        </is>
      </c>
      <c r="E120" s="37">
        <f>_xlfn.XLOOKUP(D120,'CODE FRS'!B:B,'CODE FRS'!C:C)</f>
        <v/>
      </c>
      <c r="F120" s="35" t="inlineStr">
        <is>
          <t>BE4894RB/AP7240RB</t>
        </is>
      </c>
      <c r="G120" s="35" t="n">
        <v>35804</v>
      </c>
      <c r="H120" s="38" t="n">
        <v>32080</v>
      </c>
      <c r="I120" s="38" t="n">
        <v>325</v>
      </c>
      <c r="J120" s="38" t="n">
        <v>335</v>
      </c>
      <c r="K120" s="38">
        <f>H120*J120</f>
        <v/>
      </c>
      <c r="L120" s="4" t="n">
        <v>10746800</v>
      </c>
      <c r="M120" s="38">
        <f>K120-L120</f>
        <v/>
      </c>
      <c r="N120" s="35">
        <f t="array" ref="N120">_xlfn.IFNA(_xlfn.IFS(M120=0,"PAYE",K120=M120,"NON PAYE"),"PARTIEL")</f>
        <v/>
      </c>
      <c r="O120" s="39" t="inlineStr">
        <is>
          <t>CHQ-0281-2026</t>
        </is>
      </c>
      <c r="P120" s="23" t="inlineStr">
        <is>
          <t>DECHARGE</t>
        </is>
      </c>
      <c r="Q120" s="26" t="inlineStr">
        <is>
          <t>GDIZ</t>
        </is>
      </c>
    </row>
    <row r="121">
      <c r="A121" s="48" t="n">
        <v>46279</v>
      </c>
      <c r="B121" s="40" t="n"/>
      <c r="C121" s="41" t="n">
        <v>1117</v>
      </c>
      <c r="D121" s="36" t="inlineStr">
        <is>
          <t>FRS00006</t>
        </is>
      </c>
      <c r="E121" s="37">
        <f>_xlfn.XLOOKUP(D121,'CODE FRS'!B:B,'CODE FRS'!C:C)</f>
        <v/>
      </c>
      <c r="F121" s="35" t="inlineStr">
        <is>
          <t>CC3342RB/CC3320RB</t>
        </is>
      </c>
      <c r="G121" s="35" t="n">
        <v>35842</v>
      </c>
      <c r="H121" s="38" t="n">
        <v>41540</v>
      </c>
      <c r="I121" s="38" t="n">
        <v>462</v>
      </c>
      <c r="J121" s="38" t="n">
        <v>335</v>
      </c>
      <c r="K121" s="38">
        <f>H121*J121</f>
        <v/>
      </c>
      <c r="L121" s="4" t="n">
        <v>13915900</v>
      </c>
      <c r="M121" s="38">
        <f>K121-L121</f>
        <v/>
      </c>
      <c r="N121" s="35">
        <f t="array" ref="N121">_xlfn.IFNA(_xlfn.IFS(M121=0,"PAYE",K121=M121,"NON PAYE"),"PARTIEL")</f>
        <v/>
      </c>
      <c r="O121" s="50" t="inlineStr">
        <is>
          <t>CHQ-0282-2026</t>
        </is>
      </c>
      <c r="P121" s="23" t="inlineStr">
        <is>
          <t>DECHARGE</t>
        </is>
      </c>
      <c r="Q121" s="26" t="inlineStr">
        <is>
          <t>GDIZ</t>
        </is>
      </c>
    </row>
    <row r="122">
      <c r="A122" s="48" t="n">
        <v>46279</v>
      </c>
      <c r="B122" s="36" t="inlineStr">
        <is>
          <t>0201-BC-SHEA/NAP-2026</t>
        </is>
      </c>
      <c r="C122" s="41" t="n">
        <v>1118</v>
      </c>
      <c r="D122" s="36" t="inlineStr">
        <is>
          <t>FRS00039</t>
        </is>
      </c>
      <c r="E122" s="37">
        <f>_xlfn.XLOOKUP(D122,'CODE FRS'!B:B,'CODE FRS'!C:C)</f>
        <v/>
      </c>
      <c r="F122" s="35" t="inlineStr">
        <is>
          <t>CJ5557RB/CJ1535RB</t>
        </is>
      </c>
      <c r="G122" s="35" t="n">
        <v>35855</v>
      </c>
      <c r="H122" s="38" t="n">
        <v>48940</v>
      </c>
      <c r="I122" s="38" t="n">
        <v>507</v>
      </c>
      <c r="J122" s="38" t="n">
        <v>330</v>
      </c>
      <c r="K122" s="38">
        <f>H122*J122</f>
        <v/>
      </c>
      <c r="L122" s="4" t="n">
        <v>16150200</v>
      </c>
      <c r="M122" s="38">
        <f>K122-L122</f>
        <v/>
      </c>
      <c r="N122" s="35">
        <f t="array" ref="N122">_xlfn.IFNA(_xlfn.IFS(M122=0,"PAYE",K122=M122,"NON PAYE"),"PARTIEL")</f>
        <v/>
      </c>
      <c r="O122" s="39" t="inlineStr">
        <is>
          <t>CHQ-0269-2026</t>
        </is>
      </c>
      <c r="P122" s="23" t="inlineStr">
        <is>
          <t>DECHARGE</t>
        </is>
      </c>
      <c r="Q122" s="26" t="inlineStr">
        <is>
          <t>GDIZ</t>
        </is>
      </c>
    </row>
    <row r="123">
      <c r="A123" s="48" t="n">
        <v>46280</v>
      </c>
      <c r="B123" s="36" t="inlineStr">
        <is>
          <t>0180-BC-SHEA/NAP-2026</t>
        </is>
      </c>
      <c r="C123" s="41" t="n">
        <v>1119</v>
      </c>
      <c r="D123" s="36" t="inlineStr">
        <is>
          <t>FRS00001</t>
        </is>
      </c>
      <c r="E123" s="37">
        <f>_xlfn.XLOOKUP(D123,'CODE FRS'!B:B,'CODE FRS'!C:C)</f>
        <v/>
      </c>
      <c r="F123" s="35" t="inlineStr">
        <is>
          <t>CL5427RB/BB0754RB</t>
        </is>
      </c>
      <c r="G123" s="35" t="n">
        <v>35851</v>
      </c>
      <c r="H123" s="38" t="n">
        <v>40540</v>
      </c>
      <c r="I123" s="38" t="n">
        <v>460</v>
      </c>
      <c r="J123" s="38" t="n">
        <v>330</v>
      </c>
      <c r="K123" s="38">
        <f>H123*J123</f>
        <v/>
      </c>
      <c r="L123" s="4" t="n">
        <v>0</v>
      </c>
      <c r="M123" s="38">
        <f>K123-L123</f>
        <v/>
      </c>
      <c r="N123" s="35">
        <f t="array" ref="N123">_xlfn.IFNA(_xlfn.IFS(M123=0,"PAYE",K123=M123,"NON PAYE"),"PARTIEL")</f>
        <v/>
      </c>
      <c r="O123" s="39" t="n"/>
      <c r="P123" s="23" t="inlineStr">
        <is>
          <t>DECHARGE</t>
        </is>
      </c>
      <c r="Q123" s="26" t="inlineStr">
        <is>
          <t>GDIZ</t>
        </is>
      </c>
    </row>
    <row r="124">
      <c r="A124" s="48" t="n">
        <v>46280</v>
      </c>
      <c r="B124" s="36" t="inlineStr">
        <is>
          <t>0190-BC-SHEA/NAP-2026</t>
        </is>
      </c>
      <c r="C124" s="41" t="n">
        <v>1120</v>
      </c>
      <c r="D124" s="36" t="inlineStr">
        <is>
          <t>FRS00032</t>
        </is>
      </c>
      <c r="E124" s="37">
        <f>_xlfn.XLOOKUP(D124,'CODE FRS'!B:B,'CODE FRS'!C:C)</f>
        <v/>
      </c>
      <c r="F124" s="35" t="inlineStr">
        <is>
          <t>BV0879RB/AR6890RB</t>
        </is>
      </c>
      <c r="G124" s="35" t="n">
        <v>35854</v>
      </c>
      <c r="H124" s="38" t="n">
        <v>49600</v>
      </c>
      <c r="I124" s="38" t="n">
        <v>568</v>
      </c>
      <c r="J124" s="38" t="n">
        <v>330</v>
      </c>
      <c r="K124" s="38">
        <f>H124*J124</f>
        <v/>
      </c>
      <c r="L124" s="4" t="n">
        <v>0</v>
      </c>
      <c r="M124" s="38">
        <f>K124-L124</f>
        <v/>
      </c>
      <c r="N124" s="35">
        <f t="array" ref="N124">_xlfn.IFNA(_xlfn.IFS(M124=0,"PAYE",K124=M124,"NON PAYE"),"PARTIEL")</f>
        <v/>
      </c>
      <c r="O124" s="39" t="n"/>
      <c r="P124" s="23" t="inlineStr">
        <is>
          <t>DECHARGE</t>
        </is>
      </c>
      <c r="Q124" s="26" t="inlineStr">
        <is>
          <t>GDIZ</t>
        </is>
      </c>
    </row>
    <row r="125">
      <c r="A125" s="48" t="n">
        <v>46280</v>
      </c>
      <c r="B125" s="40" t="n"/>
      <c r="C125" s="41" t="n">
        <v>1121</v>
      </c>
      <c r="D125" s="36" t="inlineStr">
        <is>
          <t>FRS00039</t>
        </is>
      </c>
      <c r="E125" s="37">
        <f>_xlfn.XLOOKUP(D125,'CODE FRS'!B:B,'CODE FRS'!C:C)</f>
        <v/>
      </c>
      <c r="F125" s="35" t="inlineStr">
        <is>
          <t>BV1335RB/AR9674RB</t>
        </is>
      </c>
      <c r="G125" s="35" t="n">
        <v>35870</v>
      </c>
      <c r="H125" s="38" t="n">
        <v>42040</v>
      </c>
      <c r="I125" s="38" t="n">
        <v>460</v>
      </c>
      <c r="J125" s="38" t="n">
        <v>330</v>
      </c>
      <c r="K125" s="38">
        <f>H125*J125</f>
        <v/>
      </c>
      <c r="L125" s="4" t="n">
        <v>13873200</v>
      </c>
      <c r="M125" s="38">
        <f>K125-L125</f>
        <v/>
      </c>
      <c r="N125" s="35">
        <f t="array" ref="N125">_xlfn.IFNA(_xlfn.IFS(M125=0,"PAYE",K125=M125,"NON PAYE"),"PARTIEL")</f>
        <v/>
      </c>
      <c r="O125" s="39" t="inlineStr">
        <is>
          <t>CHQ-0290-2026</t>
        </is>
      </c>
      <c r="P125" s="23" t="inlineStr">
        <is>
          <t>DECHARGE</t>
        </is>
      </c>
      <c r="Q125" s="26" t="inlineStr">
        <is>
          <t>GDIZ</t>
        </is>
      </c>
    </row>
    <row r="126">
      <c r="A126" s="48" t="n">
        <v>46280</v>
      </c>
      <c r="B126" s="36" t="inlineStr">
        <is>
          <t>0189-BC-SHEA/NAP-2026</t>
        </is>
      </c>
      <c r="C126" s="41" t="n">
        <v>1122</v>
      </c>
      <c r="D126" s="36" t="inlineStr">
        <is>
          <t>FRS00004</t>
        </is>
      </c>
      <c r="E126" s="37">
        <f>_xlfn.XLOOKUP(D126,'CODE FRS'!B:B,'CODE FRS'!C:C)</f>
        <v/>
      </c>
      <c r="F126" s="35" t="inlineStr">
        <is>
          <t>CL2595RB/BX8143RB</t>
        </is>
      </c>
      <c r="G126" s="35" t="n">
        <v>35852</v>
      </c>
      <c r="H126" s="38" t="n">
        <v>49640</v>
      </c>
      <c r="I126" s="38" t="n">
        <v>523</v>
      </c>
      <c r="J126" s="38" t="n">
        <v>330</v>
      </c>
      <c r="K126" s="38">
        <f>H126*J126</f>
        <v/>
      </c>
      <c r="L126" s="4" t="n">
        <v>0</v>
      </c>
      <c r="M126" s="38">
        <f>K126-L126</f>
        <v/>
      </c>
      <c r="N126" s="35">
        <f t="array" ref="N126">_xlfn.IFNA(_xlfn.IFS(M126=0,"PAYE",K126=M126,"NON PAYE"),"PARTIEL")</f>
        <v/>
      </c>
      <c r="O126" s="39" t="n"/>
      <c r="P126" s="23" t="inlineStr">
        <is>
          <t>DECHARGE</t>
        </is>
      </c>
      <c r="Q126" s="26" t="inlineStr">
        <is>
          <t>GDIZ</t>
        </is>
      </c>
    </row>
    <row r="127">
      <c r="A127" s="48" t="n">
        <v>46280</v>
      </c>
      <c r="B127" s="36" t="inlineStr">
        <is>
          <t>0165-BC-SHEA/NAP-2026</t>
        </is>
      </c>
      <c r="C127" s="41" t="n">
        <v>1123</v>
      </c>
      <c r="D127" s="36" t="inlineStr">
        <is>
          <t>FRS00003</t>
        </is>
      </c>
      <c r="E127" s="37">
        <f>_xlfn.XLOOKUP(D127,'CODE FRS'!B:B,'CODE FRS'!C:C)</f>
        <v/>
      </c>
      <c r="F127" s="51" t="inlineStr">
        <is>
          <t>CB7441RB/CB1833RB</t>
        </is>
      </c>
      <c r="G127" s="35" t="n">
        <v>35859</v>
      </c>
      <c r="H127" s="38" t="n">
        <v>51500</v>
      </c>
      <c r="I127" s="38" t="n">
        <v>648</v>
      </c>
      <c r="J127" s="38" t="n">
        <v>340</v>
      </c>
      <c r="K127" s="38">
        <f>H127*J127</f>
        <v/>
      </c>
      <c r="L127" s="4" t="n">
        <v>17510000</v>
      </c>
      <c r="M127" s="38">
        <f>K127-L127</f>
        <v/>
      </c>
      <c r="N127" s="35">
        <f t="array" ref="N127">_xlfn.IFNA(_xlfn.IFS(M127=0,"PAYE",K127=M127,"NON PAYE"),"PARTIEL")</f>
        <v/>
      </c>
      <c r="O127" s="39" t="inlineStr">
        <is>
          <t>CHQ-0274-2026</t>
        </is>
      </c>
      <c r="P127" s="23" t="inlineStr">
        <is>
          <t>DECHARGE</t>
        </is>
      </c>
      <c r="Q127" s="26" t="inlineStr">
        <is>
          <t>GDIZ</t>
        </is>
      </c>
    </row>
    <row r="128">
      <c r="A128" s="48" t="n">
        <v>46280</v>
      </c>
      <c r="B128" s="40" t="n"/>
      <c r="C128" s="41" t="n">
        <v>1124</v>
      </c>
      <c r="D128" s="36" t="inlineStr">
        <is>
          <t>FRS00016</t>
        </is>
      </c>
      <c r="E128" s="37">
        <f>_xlfn.XLOOKUP(D128,'CODE FRS'!B:B,'CODE FRS'!C:C)</f>
        <v/>
      </c>
      <c r="F128" s="35" t="inlineStr">
        <is>
          <t>AU7277RB/AX349SRB</t>
        </is>
      </c>
      <c r="G128" s="35" t="n">
        <v>35868</v>
      </c>
      <c r="H128" s="38" t="n">
        <v>47640</v>
      </c>
      <c r="I128" s="38" t="n">
        <v>601</v>
      </c>
      <c r="J128" s="38" t="n">
        <v>340</v>
      </c>
      <c r="K128" s="38">
        <f>H128*J128</f>
        <v/>
      </c>
      <c r="L128" s="4" t="n">
        <v>16197600</v>
      </c>
      <c r="M128" s="38">
        <f>K128-L128</f>
        <v/>
      </c>
      <c r="N128" s="35">
        <f t="array" ref="N128">_xlfn.IFNA(_xlfn.IFS(M128=0,"PAYE",K128=M128,"NON PAYE"),"PARTIEL")</f>
        <v/>
      </c>
      <c r="O128" s="39" t="inlineStr">
        <is>
          <t>CHQ-0278-2026</t>
        </is>
      </c>
      <c r="P128" s="23" t="inlineStr">
        <is>
          <t>DECHARGE</t>
        </is>
      </c>
      <c r="Q128" s="26" t="inlineStr">
        <is>
          <t>GDIZ</t>
        </is>
      </c>
    </row>
    <row r="129">
      <c r="A129" s="48" t="n">
        <v>46280</v>
      </c>
      <c r="B129" s="36" t="inlineStr">
        <is>
          <t>0199-BC-SHEA/NAP-2026</t>
        </is>
      </c>
      <c r="C129" s="41" t="n">
        <v>1125</v>
      </c>
      <c r="D129" s="36" t="inlineStr">
        <is>
          <t>FRS00016</t>
        </is>
      </c>
      <c r="E129" s="37">
        <f>_xlfn.XLOOKUP(D129,'CODE FRS'!B:B,'CODE FRS'!C:C)</f>
        <v/>
      </c>
      <c r="F129" s="35" t="inlineStr">
        <is>
          <t>BU1244RB/BV9648RB</t>
        </is>
      </c>
      <c r="G129" s="35" t="n">
        <v>35853</v>
      </c>
      <c r="H129" s="38" t="n">
        <v>48680</v>
      </c>
      <c r="I129" s="38" t="n">
        <v>571</v>
      </c>
      <c r="J129" s="38" t="n">
        <v>340</v>
      </c>
      <c r="K129" s="38">
        <f>H129*J129</f>
        <v/>
      </c>
      <c r="L129" s="4" t="n">
        <v>16551200</v>
      </c>
      <c r="M129" s="38">
        <f>K129-L129</f>
        <v/>
      </c>
      <c r="N129" s="35">
        <f t="array" ref="N129">_xlfn.IFNA(_xlfn.IFS(M129=0,"PAYE",K129=M129,"NON PAYE"),"PARTIEL")</f>
        <v/>
      </c>
      <c r="O129" s="39" t="inlineStr">
        <is>
          <t>CHQ-0278-2026</t>
        </is>
      </c>
      <c r="P129" s="23" t="inlineStr">
        <is>
          <t>DECHARGE</t>
        </is>
      </c>
      <c r="Q129" s="26" t="inlineStr">
        <is>
          <t>GDIZ</t>
        </is>
      </c>
    </row>
    <row r="130">
      <c r="A130" s="48" t="n">
        <v>46280</v>
      </c>
      <c r="B130" s="36" t="inlineStr">
        <is>
          <t>0186-BC-SHEA/NAP-2026</t>
        </is>
      </c>
      <c r="C130" s="41" t="n">
        <v>1126</v>
      </c>
      <c r="D130" s="36" t="inlineStr">
        <is>
          <t>FRS00022</t>
        </is>
      </c>
      <c r="E130" s="37">
        <f>_xlfn.XLOOKUP(D130,'CODE FRS'!B:B,'CODE FRS'!C:C)</f>
        <v/>
      </c>
      <c r="F130" s="35" t="inlineStr">
        <is>
          <t>BT8152RB/BT8150RB</t>
        </is>
      </c>
      <c r="G130" s="35" t="n">
        <v>35860</v>
      </c>
      <c r="H130" s="38" t="n">
        <v>34060</v>
      </c>
      <c r="I130" s="38" t="n">
        <v>388</v>
      </c>
      <c r="J130" s="38" t="n">
        <v>330</v>
      </c>
      <c r="K130" s="38">
        <f>H130*J130</f>
        <v/>
      </c>
      <c r="L130" s="4" t="n">
        <v>0</v>
      </c>
      <c r="M130" s="38">
        <f>K130-L130</f>
        <v/>
      </c>
      <c r="N130" s="35">
        <f t="array" ref="N130">_xlfn.IFNA(_xlfn.IFS(M130=0,"PAYE",K130=M130,"NON PAYE"),"PARTIEL")</f>
        <v/>
      </c>
      <c r="O130" s="39" t="n"/>
      <c r="P130" s="23" t="inlineStr">
        <is>
          <t>DECHARGE</t>
        </is>
      </c>
      <c r="Q130" s="26" t="inlineStr">
        <is>
          <t>GDIZ</t>
        </is>
      </c>
    </row>
    <row r="131">
      <c r="A131" s="48" t="n">
        <v>46281</v>
      </c>
      <c r="B131" s="36" t="inlineStr">
        <is>
          <t>0192-BC-SHEA/NAP-2026</t>
        </is>
      </c>
      <c r="C131" s="41" t="n">
        <v>1127</v>
      </c>
      <c r="D131" s="36" t="inlineStr">
        <is>
          <t>FRS00004</t>
        </is>
      </c>
      <c r="E131" s="37">
        <f>_xlfn.XLOOKUP(D131,'CODE FRS'!B:B,'CODE FRS'!C:C)</f>
        <v/>
      </c>
      <c r="F131" s="35" t="inlineStr">
        <is>
          <t>CA5363RB/CF5085RB</t>
        </is>
      </c>
      <c r="G131" s="35" t="n">
        <v>35906</v>
      </c>
      <c r="H131" s="38" t="n">
        <v>49580</v>
      </c>
      <c r="I131" s="38" t="n">
        <v>531</v>
      </c>
      <c r="J131" s="38" t="n">
        <v>330</v>
      </c>
      <c r="K131" s="38">
        <f>H131*J131</f>
        <v/>
      </c>
      <c r="L131" s="38" t="n">
        <v>0</v>
      </c>
      <c r="M131" s="38">
        <f>K131-L131</f>
        <v/>
      </c>
      <c r="N131" s="35">
        <f t="array" ref="N131">_xlfn.IFNA(_xlfn.IFS(M131=0,"PAYE",K131=M131,"NON PAYE"),"PARTIEL")</f>
        <v/>
      </c>
      <c r="O131" s="39" t="n"/>
      <c r="P131" s="23" t="inlineStr">
        <is>
          <t>DECHARGE</t>
        </is>
      </c>
      <c r="Q131" s="26" t="inlineStr">
        <is>
          <t>GDIZ</t>
        </is>
      </c>
    </row>
    <row r="132">
      <c r="A132" s="48" t="n">
        <v>46281</v>
      </c>
      <c r="B132" s="40" t="n"/>
      <c r="C132" s="41" t="n">
        <v>1128</v>
      </c>
      <c r="D132" s="36" t="inlineStr">
        <is>
          <t>FRS00028</t>
        </is>
      </c>
      <c r="E132" s="37">
        <f>_xlfn.XLOOKUP(D132,'CODE FRS'!B:B,'CODE FRS'!C:C)</f>
        <v/>
      </c>
      <c r="F132" s="35" t="inlineStr">
        <is>
          <t>BU1724RB/BU1725RB</t>
        </is>
      </c>
      <c r="G132" s="35" t="n">
        <v>35911</v>
      </c>
      <c r="H132" s="38" t="n">
        <v>44720</v>
      </c>
      <c r="I132" s="38" t="n">
        <v>520</v>
      </c>
      <c r="J132" s="38" t="n">
        <v>335</v>
      </c>
      <c r="K132" s="38">
        <f>H132*J132</f>
        <v/>
      </c>
      <c r="L132" s="38" t="n">
        <v>14981200</v>
      </c>
      <c r="M132" s="38">
        <f>K132-L132</f>
        <v/>
      </c>
      <c r="N132" s="35">
        <f t="array" ref="N132">_xlfn.IFNA(_xlfn.IFS(M132=0,"PAYE",K132=M132,"NON PAYE"),"PARTIEL")</f>
        <v/>
      </c>
      <c r="O132" s="39" t="inlineStr">
        <is>
          <t>CHQ-283-2026</t>
        </is>
      </c>
      <c r="P132" s="23" t="inlineStr">
        <is>
          <t>DECHARGE</t>
        </is>
      </c>
      <c r="Q132" s="26" t="inlineStr">
        <is>
          <t>GDIZ</t>
        </is>
      </c>
    </row>
    <row r="133">
      <c r="A133" s="48" t="n">
        <v>46281</v>
      </c>
      <c r="B133" s="36" t="inlineStr">
        <is>
          <t>0188-BC-SHEA/NAP-2026</t>
        </is>
      </c>
      <c r="C133" s="41" t="n">
        <v>1129</v>
      </c>
      <c r="D133" s="36" t="inlineStr">
        <is>
          <t>FRS00009</t>
        </is>
      </c>
      <c r="E133" s="37">
        <f>_xlfn.XLOOKUP(D133,'CODE FRS'!B:B,'CODE FRS'!C:C)</f>
        <v/>
      </c>
      <c r="F133" s="35" t="inlineStr">
        <is>
          <t>BU4348RB/CA1024RB</t>
        </is>
      </c>
      <c r="G133" s="35" t="n">
        <v>35890</v>
      </c>
      <c r="H133" s="38" t="n">
        <v>45760</v>
      </c>
      <c r="I133" s="38" t="n">
        <v>565</v>
      </c>
      <c r="J133" s="38" t="n">
        <v>335</v>
      </c>
      <c r="K133" s="38">
        <f>H133*J133</f>
        <v/>
      </c>
      <c r="L133" s="38" t="n">
        <v>15329600</v>
      </c>
      <c r="M133" s="38">
        <f>K133-L133</f>
        <v/>
      </c>
      <c r="N133" s="35">
        <f t="array" ref="N133">_xlfn.IFNA(_xlfn.IFS(M133=0,"PAYE",K133=M133,"NON PAYE"),"PARTIEL")</f>
        <v/>
      </c>
      <c r="O133" s="39" t="inlineStr">
        <is>
          <t>CHQ-0273-2026</t>
        </is>
      </c>
      <c r="P133" s="23" t="inlineStr">
        <is>
          <t>DECHARGE</t>
        </is>
      </c>
      <c r="Q133" s="26" t="inlineStr">
        <is>
          <t>GDIZ</t>
        </is>
      </c>
    </row>
    <row r="134">
      <c r="A134" s="48" t="n">
        <v>46281</v>
      </c>
      <c r="B134" s="36" t="inlineStr">
        <is>
          <t>0203-BC-SHEA/NAP-2026</t>
        </is>
      </c>
      <c r="C134" s="41" t="n">
        <v>1130</v>
      </c>
      <c r="D134" s="36" t="inlineStr">
        <is>
          <t>FRS00016</t>
        </is>
      </c>
      <c r="E134" s="37">
        <f>_xlfn.XLOOKUP(D134,'CODE FRS'!B:B,'CODE FRS'!C:C)</f>
        <v/>
      </c>
      <c r="F134" s="35" t="inlineStr">
        <is>
          <t>CL0086RB/AG5575RB</t>
        </is>
      </c>
      <c r="G134" s="35" t="n">
        <v>35898</v>
      </c>
      <c r="H134" s="38" t="n">
        <v>34300</v>
      </c>
      <c r="I134" s="38" t="n">
        <v>375</v>
      </c>
      <c r="J134" s="38" t="n">
        <v>330</v>
      </c>
      <c r="K134" s="38">
        <f>H134*J134</f>
        <v/>
      </c>
      <c r="L134" s="38" t="n">
        <v>10000000</v>
      </c>
      <c r="M134" s="38">
        <f>K134-L134</f>
        <v/>
      </c>
      <c r="N134" s="35">
        <f t="array" ref="N134">_xlfn.IFNA(_xlfn.IFS(M134=0,"PAYE",K134=M134,"NON PAYE"),"PARTIEL")</f>
        <v/>
      </c>
      <c r="O134" s="39" t="inlineStr">
        <is>
          <t>CHQ-0268-2026</t>
        </is>
      </c>
      <c r="P134" s="23" t="inlineStr">
        <is>
          <t>DECHARGE</t>
        </is>
      </c>
      <c r="Q134" s="26" t="inlineStr">
        <is>
          <t>GDIZ</t>
        </is>
      </c>
    </row>
    <row r="135">
      <c r="A135" s="48" t="n">
        <v>46281</v>
      </c>
      <c r="B135" s="36" t="inlineStr">
        <is>
          <t>0198-BC-SHEA/NAP-2026</t>
        </is>
      </c>
      <c r="C135" s="41" t="n">
        <v>1131</v>
      </c>
      <c r="D135" s="36" t="inlineStr">
        <is>
          <t>FRS00006</t>
        </is>
      </c>
      <c r="E135" s="37">
        <f>_xlfn.XLOOKUP(D135,'CODE FRS'!B:B,'CODE FRS'!C:C)</f>
        <v/>
      </c>
      <c r="F135" s="35" t="inlineStr">
        <is>
          <t>BS5349RB/BS5348RB</t>
        </is>
      </c>
      <c r="G135" s="35" t="n">
        <v>35897</v>
      </c>
      <c r="H135" s="38" t="n">
        <v>42900</v>
      </c>
      <c r="I135" s="38" t="n">
        <v>438</v>
      </c>
      <c r="J135" s="38" t="n">
        <v>330</v>
      </c>
      <c r="K135" s="38">
        <f>H135*J135</f>
        <v/>
      </c>
      <c r="L135" s="38" t="n">
        <v>0</v>
      </c>
      <c r="M135" s="38">
        <f>K135-L135</f>
        <v/>
      </c>
      <c r="N135" s="35">
        <f t="array" ref="N135">_xlfn.IFNA(_xlfn.IFS(M135=0,"PAYE",K135=M135,"NON PAYE"),"PARTIEL")</f>
        <v/>
      </c>
      <c r="O135" s="39" t="n"/>
      <c r="P135" s="23" t="inlineStr">
        <is>
          <t>DECHARGE</t>
        </is>
      </c>
      <c r="Q135" s="26" t="inlineStr">
        <is>
          <t>GDIZ</t>
        </is>
      </c>
    </row>
    <row r="136">
      <c r="A136" s="48" t="n">
        <v>46281</v>
      </c>
      <c r="B136" s="40" t="n"/>
      <c r="C136" s="41" t="n">
        <v>1132</v>
      </c>
      <c r="D136" s="36" t="inlineStr">
        <is>
          <t>FRS00031</t>
        </is>
      </c>
      <c r="E136" s="37">
        <f>_xlfn.XLOOKUP(D136,'CODE FRS'!B:B,'CODE FRS'!C:C)</f>
        <v/>
      </c>
      <c r="F136" s="35" t="inlineStr">
        <is>
          <t>BY5716RB/BY3843RB</t>
        </is>
      </c>
      <c r="G136" s="35" t="n">
        <v>35905</v>
      </c>
      <c r="H136" s="38" t="n">
        <v>45740</v>
      </c>
      <c r="I136" s="38" t="n">
        <v>526</v>
      </c>
      <c r="J136" s="38" t="n">
        <v>330</v>
      </c>
      <c r="K136" s="38">
        <f>H136*J136</f>
        <v/>
      </c>
      <c r="L136" s="38" t="n">
        <v>15094200</v>
      </c>
      <c r="M136" s="38">
        <f>K136-L136</f>
        <v/>
      </c>
      <c r="N136" s="35">
        <f t="array" ref="N136">_xlfn.IFNA(_xlfn.IFS(M136=0,"PAYE",K136=M136,"NON PAYE"),"PARTIEL")</f>
        <v/>
      </c>
      <c r="O136" s="39" t="inlineStr">
        <is>
          <t>CHQ-0288-2026</t>
        </is>
      </c>
      <c r="P136" s="23" t="inlineStr">
        <is>
          <t>DECHARGE</t>
        </is>
      </c>
      <c r="Q136" s="26" t="inlineStr">
        <is>
          <t>GDIZ</t>
        </is>
      </c>
    </row>
    <row r="137">
      <c r="A137" s="48" t="n">
        <v>46281</v>
      </c>
      <c r="B137" s="36" t="inlineStr">
        <is>
          <t>0193-BC-SHEA/NAP-2026</t>
        </is>
      </c>
      <c r="C137" s="41" t="n">
        <v>1133</v>
      </c>
      <c r="D137" s="36" t="inlineStr">
        <is>
          <t>FRS00045</t>
        </is>
      </c>
      <c r="E137" s="37">
        <f>_xlfn.XLOOKUP(D137,'CODE FRS'!B:B,'CODE FRS'!C:C)</f>
        <v/>
      </c>
      <c r="F137" s="35" t="inlineStr">
        <is>
          <t>BR7383RB/AF3753RB</t>
        </is>
      </c>
      <c r="G137" s="35" t="n">
        <v>35912</v>
      </c>
      <c r="H137" s="38" t="n">
        <v>33420</v>
      </c>
      <c r="I137" s="38" t="n">
        <v>357</v>
      </c>
      <c r="J137" s="38" t="n">
        <v>330</v>
      </c>
      <c r="K137" s="38">
        <f>H137*J137</f>
        <v/>
      </c>
      <c r="L137" s="38" t="n">
        <v>0</v>
      </c>
      <c r="M137" s="38">
        <f>K137-L137</f>
        <v/>
      </c>
      <c r="N137" s="35">
        <f t="array" ref="N137">_xlfn.IFNA(_xlfn.IFS(M137=0,"PAYE",K137=M137,"NON PAYE"),"PARTIEL")</f>
        <v/>
      </c>
      <c r="O137" s="39" t="n"/>
      <c r="P137" s="23" t="inlineStr">
        <is>
          <t>DECHARGE</t>
        </is>
      </c>
      <c r="Q137" s="26" t="inlineStr">
        <is>
          <t>GDIZ</t>
        </is>
      </c>
    </row>
    <row r="138">
      <c r="A138" s="48" t="n">
        <v>46281</v>
      </c>
      <c r="B138" s="36" t="inlineStr">
        <is>
          <t>0187-BC-SHEA/NAP-2026</t>
        </is>
      </c>
      <c r="C138" s="41" t="n">
        <v>1134</v>
      </c>
      <c r="D138" s="36" t="inlineStr">
        <is>
          <t>FRS00039</t>
        </is>
      </c>
      <c r="E138" s="37">
        <f>_xlfn.XLOOKUP(D138,'CODE FRS'!B:B,'CODE FRS'!C:C)</f>
        <v/>
      </c>
      <c r="F138" s="35" t="inlineStr">
        <is>
          <t>BD7461RB/BE5492RB</t>
        </is>
      </c>
      <c r="G138" s="35" t="n">
        <v>35907</v>
      </c>
      <c r="H138" s="38" t="n">
        <v>51320</v>
      </c>
      <c r="I138" s="38" t="n">
        <v>520</v>
      </c>
      <c r="J138" s="38" t="n">
        <v>330</v>
      </c>
      <c r="K138" s="38">
        <f>H138*J138</f>
        <v/>
      </c>
      <c r="L138" s="38" t="n">
        <v>0</v>
      </c>
      <c r="M138" s="38">
        <f>K138-L138</f>
        <v/>
      </c>
      <c r="N138" s="35">
        <f t="array" ref="N138">_xlfn.IFNA(_xlfn.IFS(M138=0,"PAYE",K138=M138,"NON PAYE"),"PARTIEL")</f>
        <v/>
      </c>
      <c r="O138" s="39" t="n"/>
      <c r="P138" s="23" t="inlineStr">
        <is>
          <t>DECHARGE</t>
        </is>
      </c>
      <c r="Q138" s="26" t="inlineStr">
        <is>
          <t>GDIZ</t>
        </is>
      </c>
    </row>
    <row r="139">
      <c r="A139" s="48" t="n">
        <v>46281</v>
      </c>
      <c r="B139" s="36" t="inlineStr">
        <is>
          <t>0200-BC-SHEA/NAP-2026</t>
        </is>
      </c>
      <c r="C139" s="41" t="n">
        <v>1135</v>
      </c>
      <c r="D139" s="36" t="inlineStr">
        <is>
          <t>FRS00032</t>
        </is>
      </c>
      <c r="E139" s="37">
        <f>_xlfn.XLOOKUP(D139,'CODE FRS'!B:B,'CODE FRS'!C:C)</f>
        <v/>
      </c>
      <c r="F139" s="35" t="inlineStr">
        <is>
          <t>CF0609RB/CF0565RB</t>
        </is>
      </c>
      <c r="G139" s="35" t="n">
        <v>35910</v>
      </c>
      <c r="H139" s="38" t="n">
        <v>49420</v>
      </c>
      <c r="I139" s="38" t="n">
        <v>580</v>
      </c>
      <c r="J139" s="38" t="n">
        <v>330</v>
      </c>
      <c r="K139" s="38">
        <f>H139*J139</f>
        <v/>
      </c>
      <c r="L139" s="38" t="n">
        <v>0</v>
      </c>
      <c r="M139" s="38">
        <f>K139-L139</f>
        <v/>
      </c>
      <c r="N139" s="35">
        <f t="array" ref="N139">_xlfn.IFNA(_xlfn.IFS(M139=0,"PAYE",K139=M139,"NON PAYE"),"PARTIEL")</f>
        <v/>
      </c>
      <c r="O139" s="39" t="n"/>
      <c r="P139" s="23" t="inlineStr">
        <is>
          <t>DECHARGE</t>
        </is>
      </c>
      <c r="Q139" s="26" t="inlineStr">
        <is>
          <t>GDIZ</t>
        </is>
      </c>
    </row>
    <row r="140">
      <c r="A140" s="48" t="n">
        <v>46282</v>
      </c>
      <c r="B140" s="36" t="n"/>
      <c r="C140" s="41" t="n">
        <v>1136</v>
      </c>
      <c r="D140" s="36" t="inlineStr">
        <is>
          <t>FRS00026</t>
        </is>
      </c>
      <c r="E140" s="37">
        <f>_xlfn.XLOOKUP(D140,'CODE FRS'!B:B,'CODE FRS'!C:C)</f>
        <v/>
      </c>
      <c r="F140" s="35" t="inlineStr">
        <is>
          <t>BR1679RB/AZ2904RB</t>
        </is>
      </c>
      <c r="G140" s="35" t="n">
        <v>35927</v>
      </c>
      <c r="H140" s="38" t="n">
        <v>49160</v>
      </c>
      <c r="I140" s="38" t="n">
        <v>525</v>
      </c>
      <c r="J140" s="38" t="n">
        <v>330</v>
      </c>
      <c r="K140" s="38">
        <f>H140*J140</f>
        <v/>
      </c>
      <c r="L140" s="38" t="n">
        <v>2000000</v>
      </c>
      <c r="M140" s="38">
        <f>K140-L140</f>
        <v/>
      </c>
      <c r="N140" s="35">
        <f t="array" ref="N140">_xlfn.IFNA(_xlfn.IFS(M140=0,"PAYE",K140=M140,"NON PAYE"),"PARTIEL")</f>
        <v/>
      </c>
      <c r="O140" s="39" t="inlineStr">
        <is>
          <t>CHQ-0287-2026</t>
        </is>
      </c>
      <c r="P140" s="39" t="inlineStr">
        <is>
          <t>DECHARGE</t>
        </is>
      </c>
      <c r="Q140" s="42" t="inlineStr">
        <is>
          <t>GDIZ</t>
        </is>
      </c>
    </row>
    <row r="141">
      <c r="A141" s="48" t="n">
        <v>46282</v>
      </c>
      <c r="B141" s="36" t="n"/>
      <c r="C141" s="41" t="n">
        <v>1137</v>
      </c>
      <c r="D141" s="36" t="inlineStr">
        <is>
          <t>FRS00051</t>
        </is>
      </c>
      <c r="E141" s="37">
        <f>_xlfn.XLOOKUP(D141,'CODE FRS'!B:B,'CODE FRS'!C:C)</f>
        <v/>
      </c>
      <c r="F141" s="35" t="inlineStr">
        <is>
          <t>CH1044RB/CH1043RB</t>
        </is>
      </c>
      <c r="G141" s="35" t="n">
        <v>35951</v>
      </c>
      <c r="H141" s="38" t="n">
        <v>49280</v>
      </c>
      <c r="I141" s="38" t="n">
        <v>518</v>
      </c>
      <c r="J141" s="38" t="n">
        <v>330</v>
      </c>
      <c r="K141" s="38">
        <f>H141*J141</f>
        <v/>
      </c>
      <c r="L141" s="38" t="n">
        <v>0</v>
      </c>
      <c r="M141" s="38">
        <f>K141-L141</f>
        <v/>
      </c>
      <c r="N141" s="35">
        <f t="array" ref="N141">_xlfn.IFNA(_xlfn.IFS(M141=0,"PAYE",K141=M141,"NON PAYE"),"PARTIEL")</f>
        <v/>
      </c>
      <c r="O141" s="39" t="n"/>
      <c r="P141" s="39" t="inlineStr">
        <is>
          <t>DECHARGE</t>
        </is>
      </c>
      <c r="Q141" s="42" t="inlineStr">
        <is>
          <t>GDIZ</t>
        </is>
      </c>
    </row>
    <row r="142">
      <c r="A142" s="48" t="n">
        <v>46282</v>
      </c>
      <c r="B142" s="36" t="n"/>
      <c r="C142" s="41" t="n">
        <v>1138</v>
      </c>
      <c r="D142" s="36" t="inlineStr">
        <is>
          <t>FRS00006</t>
        </is>
      </c>
      <c r="E142" s="37">
        <f>_xlfn.XLOOKUP(D142,'CODE FRS'!B:B,'CODE FRS'!C:C)</f>
        <v/>
      </c>
      <c r="F142" s="35" t="inlineStr">
        <is>
          <t>CB1267RB/AX5462RB</t>
        </is>
      </c>
      <c r="G142" s="35" t="n">
        <v>35937</v>
      </c>
      <c r="H142" s="38" t="n">
        <v>46340</v>
      </c>
      <c r="I142" s="38" t="n">
        <v>477</v>
      </c>
      <c r="J142" s="38" t="n">
        <v>330</v>
      </c>
      <c r="K142" s="38">
        <f>H142*J142</f>
        <v/>
      </c>
      <c r="L142" s="38" t="n">
        <v>0</v>
      </c>
      <c r="M142" s="38">
        <f>K142-L142</f>
        <v/>
      </c>
      <c r="N142" s="35">
        <f t="array" ref="N142">_xlfn.IFNA(_xlfn.IFS(M142=0,"PAYE",K142=M142,"NON PAYE"),"PARTIEL")</f>
        <v/>
      </c>
      <c r="O142" s="39" t="n"/>
      <c r="P142" s="39" t="inlineStr">
        <is>
          <t>DECHARGE</t>
        </is>
      </c>
      <c r="Q142" s="42" t="inlineStr">
        <is>
          <t>GDIZ</t>
        </is>
      </c>
    </row>
    <row r="143">
      <c r="A143" s="48" t="n">
        <v>46282</v>
      </c>
      <c r="B143" s="36" t="n"/>
      <c r="C143" s="41" t="n">
        <v>1139</v>
      </c>
      <c r="D143" s="36" t="inlineStr">
        <is>
          <t>FRS00035</t>
        </is>
      </c>
      <c r="E143" s="37">
        <f>_xlfn.XLOOKUP(D143,'CODE FRS'!B:B,'CODE FRS'!C:C)</f>
        <v/>
      </c>
      <c r="F143" s="35" t="inlineStr">
        <is>
          <t>BX1081RB/BX1082RB</t>
        </is>
      </c>
      <c r="G143" s="35" t="n">
        <v>35950</v>
      </c>
      <c r="H143" s="38" t="n">
        <v>35040</v>
      </c>
      <c r="I143" s="38" t="n">
        <v>403</v>
      </c>
      <c r="J143" s="38" t="n">
        <v>335</v>
      </c>
      <c r="K143" s="38">
        <f>H143*J143</f>
        <v/>
      </c>
      <c r="L143" s="38" t="n">
        <v>11738400</v>
      </c>
      <c r="M143" s="38">
        <f>K143-L143</f>
        <v/>
      </c>
      <c r="N143" s="35">
        <f t="array" ref="N143">_xlfn.IFNA(_xlfn.IFS(M143=0,"PAYE",K143=M143,"NON PAYE"),"PARTIEL")</f>
        <v/>
      </c>
      <c r="O143" s="39" t="inlineStr">
        <is>
          <t>CHQ-0279-2026</t>
        </is>
      </c>
      <c r="P143" s="39" t="inlineStr">
        <is>
          <t>DECHARGE</t>
        </is>
      </c>
      <c r="Q143" s="42" t="inlineStr">
        <is>
          <t>GDIZ</t>
        </is>
      </c>
    </row>
    <row r="144">
      <c r="A144" s="48" t="n">
        <v>46282</v>
      </c>
      <c r="B144" s="36" t="n"/>
      <c r="C144" s="41" t="n">
        <v>1140</v>
      </c>
      <c r="D144" s="36" t="inlineStr">
        <is>
          <t>FRS00026</t>
        </is>
      </c>
      <c r="E144" s="37">
        <f>_xlfn.XLOOKUP(D144,'CODE FRS'!B:B,'CODE FRS'!C:C)</f>
        <v/>
      </c>
      <c r="F144" s="35" t="inlineStr">
        <is>
          <t>CF7640RB/CF7822RB</t>
        </is>
      </c>
      <c r="G144" s="35" t="n">
        <v>35938</v>
      </c>
      <c r="H144" s="38" t="n">
        <v>35938</v>
      </c>
      <c r="I144" s="38" t="n">
        <v>523</v>
      </c>
      <c r="J144" s="38" t="n">
        <v>330</v>
      </c>
      <c r="K144" s="38">
        <f>H144*J144</f>
        <v/>
      </c>
      <c r="L144" s="38" t="n">
        <v>0</v>
      </c>
      <c r="M144" s="38">
        <f>K144-L144</f>
        <v/>
      </c>
      <c r="N144" s="35">
        <f t="array" ref="N144">_xlfn.IFNA(_xlfn.IFS(M144=0,"PAYE",K144=M144,"NON PAYE"),"PARTIEL")</f>
        <v/>
      </c>
      <c r="O144" s="39" t="n"/>
      <c r="P144" s="39" t="inlineStr">
        <is>
          <t>DECHARGE</t>
        </is>
      </c>
      <c r="Q144" s="42" t="inlineStr">
        <is>
          <t>GDIZ</t>
        </is>
      </c>
    </row>
    <row r="145">
      <c r="A145" s="48" t="n">
        <v>46282</v>
      </c>
      <c r="B145" s="36" t="n"/>
      <c r="C145" s="41" t="n">
        <v>1141</v>
      </c>
      <c r="D145" s="36" t="inlineStr">
        <is>
          <t>FRS00021</t>
        </is>
      </c>
      <c r="E145" s="37">
        <f>_xlfn.XLOOKUP(D145,'CODE FRS'!B:B,'CODE FRS'!C:C)</f>
        <v/>
      </c>
      <c r="F145" s="35" t="inlineStr">
        <is>
          <t>CA1763RB/AR2571RB</t>
        </is>
      </c>
      <c r="G145" s="35" t="n">
        <v>35939</v>
      </c>
      <c r="H145" s="38" t="n">
        <v>36760</v>
      </c>
      <c r="I145" s="38" t="n">
        <v>463</v>
      </c>
      <c r="J145" s="38" t="n">
        <v>330</v>
      </c>
      <c r="K145" s="38">
        <f>H145*J145</f>
        <v/>
      </c>
      <c r="L145" s="38" t="n">
        <v>0</v>
      </c>
      <c r="M145" s="38">
        <f>K145-L145</f>
        <v/>
      </c>
      <c r="N145" s="35">
        <f t="array" ref="N145">_xlfn.IFNA(_xlfn.IFS(M145=0,"PAYE",K145=M145,"NON PAYE"),"PARTIEL")</f>
        <v/>
      </c>
      <c r="O145" s="39" t="n"/>
      <c r="P145" s="39" t="inlineStr">
        <is>
          <t>DECHARGE</t>
        </is>
      </c>
      <c r="Q145" s="42" t="inlineStr">
        <is>
          <t>GDIZ</t>
        </is>
      </c>
    </row>
    <row r="146">
      <c r="A146" s="48" t="n">
        <v>46282</v>
      </c>
      <c r="B146" s="36" t="n"/>
      <c r="C146" s="41" t="n">
        <v>1142</v>
      </c>
      <c r="D146" s="36" t="inlineStr">
        <is>
          <t>FRS00024</t>
        </is>
      </c>
      <c r="E146" s="37">
        <f>_xlfn.XLOOKUP(D146,'CODE FRS'!B:B,'CODE FRS'!C:C)</f>
        <v/>
      </c>
      <c r="F146" s="35" t="inlineStr">
        <is>
          <t>AL5174RB/AR2338RB</t>
        </is>
      </c>
      <c r="G146" s="35" t="n">
        <v>35940</v>
      </c>
      <c r="H146" s="38" t="n">
        <v>29440</v>
      </c>
      <c r="I146" s="38" t="n">
        <v>294</v>
      </c>
      <c r="J146" s="38" t="n">
        <v>330</v>
      </c>
      <c r="K146" s="38">
        <f>H146*J146</f>
        <v/>
      </c>
      <c r="L146" s="38" t="n">
        <v>0</v>
      </c>
      <c r="M146" s="38">
        <f>K146-L146</f>
        <v/>
      </c>
      <c r="N146" s="35">
        <f t="array" ref="N146">_xlfn.IFNA(_xlfn.IFS(M146=0,"PAYE",K146=M146,"NON PAYE"),"PARTIEL")</f>
        <v/>
      </c>
      <c r="O146" s="39" t="n"/>
      <c r="P146" s="39" t="inlineStr">
        <is>
          <t>DECHARGE</t>
        </is>
      </c>
      <c r="Q146" s="42" t="inlineStr">
        <is>
          <t>GDIZ</t>
        </is>
      </c>
    </row>
    <row r="147">
      <c r="A147" s="48" t="n">
        <v>46282</v>
      </c>
      <c r="B147" s="36" t="n"/>
      <c r="C147" s="41" t="n">
        <v>1143</v>
      </c>
      <c r="D147" s="36" t="inlineStr">
        <is>
          <t>FRS00036</t>
        </is>
      </c>
      <c r="E147" s="37">
        <f>_xlfn.XLOOKUP(D147,'CODE FRS'!B:B,'CODE FRS'!C:C)</f>
        <v/>
      </c>
      <c r="F147" s="35" t="inlineStr">
        <is>
          <t>BR3872RB/BV3758RB</t>
        </is>
      </c>
      <c r="G147" s="35" t="n">
        <v>35941</v>
      </c>
      <c r="H147" s="38" t="n">
        <v>45340</v>
      </c>
      <c r="I147" s="38" t="n">
        <v>552</v>
      </c>
      <c r="J147" s="38" t="n">
        <v>330</v>
      </c>
      <c r="K147" s="38">
        <f>H147*J147</f>
        <v/>
      </c>
      <c r="L147" s="38" t="n">
        <v>0</v>
      </c>
      <c r="M147" s="38">
        <f>K147-L147</f>
        <v/>
      </c>
      <c r="N147" s="35">
        <f t="array" ref="N147">_xlfn.IFNA(_xlfn.IFS(M147=0,"PAYE",K147=M147,"NON PAYE"),"PARTIEL")</f>
        <v/>
      </c>
      <c r="O147" s="39" t="n"/>
      <c r="P147" s="39" t="inlineStr">
        <is>
          <t>DECHARGE</t>
        </is>
      </c>
      <c r="Q147" s="42" t="inlineStr">
        <is>
          <t>GDIZ</t>
        </is>
      </c>
    </row>
    <row r="148">
      <c r="A148" s="48" t="n">
        <v>46286</v>
      </c>
      <c r="B148" s="36" t="n"/>
      <c r="C148" s="41" t="n">
        <v>1144</v>
      </c>
      <c r="D148" s="36" t="inlineStr">
        <is>
          <t>FRS00021</t>
        </is>
      </c>
      <c r="E148" s="37">
        <f>_xlfn.XLOOKUP(D148,'CODE FRS'!B:B,'CODE FRS'!C:C)</f>
        <v/>
      </c>
      <c r="F148" s="35" t="inlineStr">
        <is>
          <t>BN7554RB/AV8632RB</t>
        </is>
      </c>
      <c r="G148" s="35" t="n">
        <v>35928</v>
      </c>
      <c r="H148" s="38" t="n">
        <v>40680</v>
      </c>
      <c r="I148" s="38" t="n">
        <v>495</v>
      </c>
      <c r="J148" s="38" t="n">
        <v>330</v>
      </c>
      <c r="K148" s="38">
        <f>H148*J148</f>
        <v/>
      </c>
      <c r="L148" s="38" t="n">
        <v>0</v>
      </c>
      <c r="M148" s="38">
        <f>K148-L148</f>
        <v/>
      </c>
      <c r="N148" s="35">
        <f t="array" ref="N148">_xlfn.IFNA(_xlfn.IFS(M148=0,"PAYE",K148=M148,"NON PAYE"),"PARTIEL")</f>
        <v/>
      </c>
      <c r="O148" s="39" t="n"/>
      <c r="P148" s="39" t="inlineStr">
        <is>
          <t>DECHARGE</t>
        </is>
      </c>
      <c r="Q148" s="42" t="inlineStr">
        <is>
          <t>GDIZ</t>
        </is>
      </c>
    </row>
    <row r="149">
      <c r="A149" s="48" t="n">
        <v>46282</v>
      </c>
      <c r="B149" s="36" t="n"/>
      <c r="C149" s="41" t="n">
        <v>1145</v>
      </c>
      <c r="D149" s="36" t="inlineStr">
        <is>
          <t>FRS00004</t>
        </is>
      </c>
      <c r="E149" s="37">
        <f>_xlfn.XLOOKUP(D149,'CODE FRS'!B:B,'CODE FRS'!C:C)</f>
        <v/>
      </c>
      <c r="F149" s="35" t="inlineStr">
        <is>
          <t>CF9265RB/CF6734RB</t>
        </is>
      </c>
      <c r="G149" s="35" t="n">
        <v>35954</v>
      </c>
      <c r="H149" s="38" t="n">
        <v>49760</v>
      </c>
      <c r="I149" s="38" t="n">
        <v>530</v>
      </c>
      <c r="J149" s="38" t="n">
        <v>330</v>
      </c>
      <c r="K149" s="38">
        <f>H149*J149</f>
        <v/>
      </c>
      <c r="L149" s="38" t="n">
        <v>0</v>
      </c>
      <c r="M149" s="38">
        <f>K149-L149</f>
        <v/>
      </c>
      <c r="N149" s="35">
        <f t="array" ref="N149">_xlfn.IFNA(_xlfn.IFS(M149=0,"PAYE",K149=M149,"NON PAYE"),"PARTIEL")</f>
        <v/>
      </c>
      <c r="O149" s="39" t="n"/>
      <c r="P149" s="39" t="inlineStr">
        <is>
          <t>DECHARGE</t>
        </is>
      </c>
      <c r="Q149" s="42" t="inlineStr">
        <is>
          <t>GDIZ</t>
        </is>
      </c>
    </row>
    <row r="150">
      <c r="A150" s="48" t="n">
        <v>46283</v>
      </c>
      <c r="B150" s="36" t="n"/>
      <c r="C150" s="41" t="n">
        <v>1146</v>
      </c>
      <c r="D150" s="36" t="inlineStr">
        <is>
          <t>FRS00016</t>
        </is>
      </c>
      <c r="E150" s="37">
        <f>_xlfn.XLOOKUP(D150,'CODE FRS'!B:B,'CODE FRS'!C:C)</f>
        <v/>
      </c>
      <c r="F150" s="35" t="inlineStr">
        <is>
          <t>CJ4361RB/AX9406RB</t>
        </is>
      </c>
      <c r="G150" s="35" t="n">
        <v>35960</v>
      </c>
      <c r="H150" s="38" t="n">
        <v>60940</v>
      </c>
      <c r="I150" s="38" t="n">
        <v>722</v>
      </c>
      <c r="J150" s="38" t="n">
        <v>330</v>
      </c>
      <c r="K150" s="38">
        <f>H150*J150</f>
        <v/>
      </c>
      <c r="L150" s="38" t="n">
        <v>0</v>
      </c>
      <c r="M150" s="38">
        <f>K150-L150</f>
        <v/>
      </c>
      <c r="N150" s="35">
        <f t="array" ref="N150">_xlfn.IFNA(_xlfn.IFS(M150=0,"PAYE",K150=M150,"NON PAYE"),"PARTIEL")</f>
        <v/>
      </c>
      <c r="O150" s="39" t="n"/>
      <c r="P150" s="39" t="inlineStr">
        <is>
          <t>DECHARGE</t>
        </is>
      </c>
      <c r="Q150" s="42" t="inlineStr">
        <is>
          <t>GDIZ</t>
        </is>
      </c>
    </row>
    <row r="151">
      <c r="A151" s="48" t="n">
        <v>46283</v>
      </c>
      <c r="B151" s="36" t="n"/>
      <c r="C151" s="41" t="n">
        <v>1147</v>
      </c>
      <c r="D151" s="36" t="inlineStr">
        <is>
          <t>FRS00016</t>
        </is>
      </c>
      <c r="E151" s="37">
        <f>_xlfn.XLOOKUP(D151,'CODE FRS'!B:B,'CODE FRS'!C:C)</f>
        <v/>
      </c>
      <c r="F151" s="35" t="inlineStr">
        <is>
          <t>AR0918RB/AR0751RB</t>
        </is>
      </c>
      <c r="G151" s="35" t="n">
        <v>35976</v>
      </c>
      <c r="H151" s="38" t="n">
        <v>23560</v>
      </c>
      <c r="I151" s="38" t="n">
        <v>287</v>
      </c>
      <c r="J151" s="38" t="n">
        <v>330</v>
      </c>
      <c r="K151" s="38">
        <f>H151*J151</f>
        <v/>
      </c>
      <c r="L151" s="38" t="n">
        <v>0</v>
      </c>
      <c r="M151" s="38">
        <f>K151-L151</f>
        <v/>
      </c>
      <c r="N151" s="35">
        <f t="array" ref="N151">_xlfn.IFNA(_xlfn.IFS(M151=0,"PAYE",K151=M151,"NON PAYE"),"PARTIEL")</f>
        <v/>
      </c>
      <c r="O151" s="39" t="n"/>
      <c r="P151" s="39" t="inlineStr">
        <is>
          <t>DECHARGE</t>
        </is>
      </c>
      <c r="Q151" s="42" t="inlineStr">
        <is>
          <t>GDIZ</t>
        </is>
      </c>
    </row>
    <row r="152">
      <c r="A152" s="48" t="n">
        <v>46283</v>
      </c>
      <c r="B152" s="36" t="n"/>
      <c r="C152" s="41" t="n">
        <v>1148</v>
      </c>
      <c r="D152" s="36" t="inlineStr">
        <is>
          <t>FRS00021</t>
        </is>
      </c>
      <c r="E152" s="37">
        <f>_xlfn.XLOOKUP(D152,'CODE FRS'!B:B,'CODE FRS'!C:C)</f>
        <v/>
      </c>
      <c r="F152" s="35" t="inlineStr">
        <is>
          <t>CD6560RB/AS9619RB</t>
        </is>
      </c>
      <c r="G152" s="35" t="n">
        <v>35969</v>
      </c>
      <c r="H152" s="38" t="n">
        <v>14280</v>
      </c>
      <c r="I152" s="38" t="n">
        <v>161</v>
      </c>
      <c r="J152" s="38" t="n">
        <v>330</v>
      </c>
      <c r="K152" s="38">
        <f>H152*J152</f>
        <v/>
      </c>
      <c r="L152" s="38" t="n">
        <v>0</v>
      </c>
      <c r="M152" s="38">
        <f>K152-L152</f>
        <v/>
      </c>
      <c r="N152" s="35">
        <f t="array" ref="N152">_xlfn.IFNA(_xlfn.IFS(M152=0,"PAYE",K152=M152,"NON PAYE"),"PARTIEL")</f>
        <v/>
      </c>
      <c r="O152" s="39" t="n"/>
      <c r="P152" s="39" t="inlineStr">
        <is>
          <t>DECHARGE</t>
        </is>
      </c>
      <c r="Q152" s="42" t="inlineStr">
        <is>
          <t>GDIZ</t>
        </is>
      </c>
    </row>
    <row r="153">
      <c r="A153" s="48" t="n">
        <v>46283</v>
      </c>
      <c r="B153" s="36" t="n"/>
      <c r="C153" s="41" t="n">
        <v>1149</v>
      </c>
      <c r="D153" s="36" t="inlineStr">
        <is>
          <t>FRS00024</t>
        </is>
      </c>
      <c r="E153" s="37">
        <f>_xlfn.XLOOKUP(D153,'CODE FRS'!B:B,'CODE FRS'!C:C)</f>
        <v/>
      </c>
      <c r="F153" s="35" t="inlineStr">
        <is>
          <t>BP6298RB/BE9619RB</t>
        </is>
      </c>
      <c r="G153" s="35" t="n">
        <v>35975</v>
      </c>
      <c r="H153" s="38" t="n">
        <v>50480</v>
      </c>
      <c r="I153" s="38" t="n">
        <v>512</v>
      </c>
      <c r="J153" s="38" t="n">
        <v>330</v>
      </c>
      <c r="K153" s="38">
        <f>H153*J153</f>
        <v/>
      </c>
      <c r="L153" s="38" t="n">
        <v>0</v>
      </c>
      <c r="M153" s="38">
        <f>K153-L153</f>
        <v/>
      </c>
      <c r="N153" s="35">
        <f t="array" ref="N153">_xlfn.IFNA(_xlfn.IFS(M153=0,"PAYE",K153=M153,"NON PAYE"),"PARTIEL")</f>
        <v/>
      </c>
      <c r="O153" s="39" t="n"/>
      <c r="P153" s="39" t="inlineStr">
        <is>
          <t>DECHARGE</t>
        </is>
      </c>
      <c r="Q153" s="42" t="inlineStr">
        <is>
          <t>GDIZ</t>
        </is>
      </c>
    </row>
    <row r="154">
      <c r="A154" s="48" t="n">
        <v>46283</v>
      </c>
      <c r="B154" s="36" t="n"/>
      <c r="C154" s="41" t="n">
        <v>1150</v>
      </c>
      <c r="D154" s="36" t="inlineStr">
        <is>
          <t>FRS00011</t>
        </is>
      </c>
      <c r="E154" s="37">
        <f>_xlfn.XLOOKUP(D154,'CODE FRS'!B:B,'CODE FRS'!C:C)</f>
        <v/>
      </c>
      <c r="F154" s="35" t="inlineStr">
        <is>
          <t>BV6583RB/BN7484RB</t>
        </is>
      </c>
      <c r="G154" s="35" t="n">
        <v>35959</v>
      </c>
      <c r="H154" s="38" t="n">
        <v>45780</v>
      </c>
      <c r="I154" s="38" t="n">
        <v>502</v>
      </c>
      <c r="J154" s="38" t="n">
        <v>330</v>
      </c>
      <c r="K154" s="38">
        <f>H154*J154</f>
        <v/>
      </c>
      <c r="L154" s="38" t="n">
        <v>0</v>
      </c>
      <c r="M154" s="38">
        <f>K154-L154</f>
        <v/>
      </c>
      <c r="N154" s="35">
        <f t="array" ref="N154">_xlfn.IFNA(_xlfn.IFS(M154=0,"PAYE",K154=M154,"NON PAYE"),"PARTIEL")</f>
        <v/>
      </c>
      <c r="O154" s="39" t="n"/>
      <c r="P154" s="39" t="inlineStr">
        <is>
          <t>DECHARGE</t>
        </is>
      </c>
      <c r="Q154" s="42" t="inlineStr">
        <is>
          <t>GDIZ</t>
        </is>
      </c>
    </row>
    <row r="155">
      <c r="A155" s="48" t="n">
        <v>46283</v>
      </c>
      <c r="B155" s="36" t="n"/>
      <c r="C155" s="41" t="n">
        <v>1151</v>
      </c>
      <c r="D155" s="36" t="inlineStr">
        <is>
          <t>FRS00001</t>
        </is>
      </c>
      <c r="E155" s="37">
        <f>_xlfn.XLOOKUP(D155,'CODE FRS'!B:B,'CODE FRS'!C:C)</f>
        <v/>
      </c>
      <c r="F155" s="35" t="inlineStr">
        <is>
          <t>BX7455RB/AM4012RB</t>
        </is>
      </c>
      <c r="G155" s="35" t="n">
        <v>35961</v>
      </c>
      <c r="H155" s="38" t="n">
        <v>46380</v>
      </c>
      <c r="I155" s="38" t="n">
        <v>501</v>
      </c>
      <c r="J155" s="38" t="n">
        <v>330</v>
      </c>
      <c r="K155" s="38">
        <f>H155*J155</f>
        <v/>
      </c>
      <c r="L155" s="38" t="n">
        <v>0</v>
      </c>
      <c r="M155" s="38">
        <f>K155-L155</f>
        <v/>
      </c>
      <c r="N155" s="35">
        <f t="array" ref="N155">_xlfn.IFNA(_xlfn.IFS(M155=0,"PAYE",K155=M155,"NON PAYE"),"PARTIEL")</f>
        <v/>
      </c>
      <c r="O155" s="39" t="n"/>
      <c r="P155" s="39" t="inlineStr">
        <is>
          <t>DECHARGE</t>
        </is>
      </c>
      <c r="Q155" s="42" t="inlineStr">
        <is>
          <t>GDIZ</t>
        </is>
      </c>
    </row>
    <row r="156">
      <c r="A156" s="48" t="n">
        <v>46283</v>
      </c>
      <c r="B156" s="36" t="n"/>
      <c r="C156" s="41" t="n">
        <v>1152</v>
      </c>
      <c r="D156" s="36" t="inlineStr">
        <is>
          <t>FRS00035</t>
        </is>
      </c>
      <c r="E156" s="37">
        <f>_xlfn.XLOOKUP(D156,'CODE FRS'!B:B,'CODE FRS'!C:C)</f>
        <v/>
      </c>
      <c r="F156" s="35" t="inlineStr">
        <is>
          <t>BZ3764RB/BZ3763RB</t>
        </is>
      </c>
      <c r="G156" s="35" t="n">
        <v>35989</v>
      </c>
      <c r="H156" s="38" t="n">
        <v>34760</v>
      </c>
      <c r="I156" s="38" t="n">
        <v>340</v>
      </c>
      <c r="J156" s="38" t="n">
        <v>330</v>
      </c>
      <c r="K156" s="38">
        <f>H156*J156</f>
        <v/>
      </c>
      <c r="L156" s="38" t="n">
        <v>0</v>
      </c>
      <c r="M156" s="38">
        <f>K156-L156</f>
        <v/>
      </c>
      <c r="N156" s="35">
        <f t="array" ref="N156">_xlfn.IFNA(_xlfn.IFS(M156=0,"PAYE",K156=M156,"NON PAYE"),"PARTIEL")</f>
        <v/>
      </c>
      <c r="O156" s="39" t="n"/>
      <c r="P156" s="39" t="inlineStr">
        <is>
          <t>DECHARGE</t>
        </is>
      </c>
      <c r="Q156" s="42" t="inlineStr">
        <is>
          <t>GDIZ</t>
        </is>
      </c>
    </row>
    <row r="157">
      <c r="A157" s="48" t="n">
        <v>46283</v>
      </c>
      <c r="B157" s="36" t="n"/>
      <c r="C157" s="41" t="n">
        <v>1153</v>
      </c>
      <c r="D157" s="36" t="inlineStr">
        <is>
          <t>FRS00011</t>
        </is>
      </c>
      <c r="E157" s="37">
        <f>_xlfn.XLOOKUP(D157,'CODE FRS'!B:B,'CODE FRS'!C:C)</f>
        <v/>
      </c>
      <c r="F157" s="35" t="inlineStr">
        <is>
          <t>BU5793RB/AY0257RB</t>
        </is>
      </c>
      <c r="G157" s="35" t="n">
        <v>35958</v>
      </c>
      <c r="H157" s="38" t="n">
        <v>39000</v>
      </c>
      <c r="I157" s="38" t="n">
        <v>515</v>
      </c>
      <c r="J157" s="38" t="n">
        <v>330</v>
      </c>
      <c r="K157" s="38">
        <f>H157*J157</f>
        <v/>
      </c>
      <c r="L157" s="38" t="n">
        <v>0</v>
      </c>
      <c r="M157" s="38">
        <f>K157-L157</f>
        <v/>
      </c>
      <c r="N157" s="35">
        <f t="array" ref="N157">_xlfn.IFNA(_xlfn.IFS(M157=0,"PAYE",K157=M157,"NON PAYE"),"PARTIEL")</f>
        <v/>
      </c>
      <c r="O157" s="39" t="n"/>
      <c r="P157" s="39" t="inlineStr">
        <is>
          <t>DECHARGE</t>
        </is>
      </c>
      <c r="Q157" s="42" t="inlineStr">
        <is>
          <t>GDIZ</t>
        </is>
      </c>
    </row>
    <row r="158">
      <c r="A158" s="48" t="n">
        <v>46284</v>
      </c>
      <c r="B158" s="36" t="n"/>
      <c r="C158" s="41" t="n">
        <v>1154</v>
      </c>
      <c r="D158" s="36" t="inlineStr">
        <is>
          <t>FRS00021</t>
        </is>
      </c>
      <c r="E158" s="37">
        <f>_xlfn.XLOOKUP(D158,'CODE FRS'!B:B,'CODE FRS'!C:C)</f>
        <v/>
      </c>
      <c r="F158" s="35" t="inlineStr">
        <is>
          <t>BE3081RB/BE3082RB</t>
        </is>
      </c>
      <c r="G158" s="35" t="n">
        <v>35962</v>
      </c>
      <c r="H158" s="38" t="n">
        <v>43960</v>
      </c>
      <c r="I158" s="38" t="n">
        <v>562</v>
      </c>
      <c r="J158" s="38" t="n">
        <v>330</v>
      </c>
      <c r="K158" s="38">
        <f>H158*J158</f>
        <v/>
      </c>
      <c r="L158" s="38" t="n">
        <v>0</v>
      </c>
      <c r="M158" s="38">
        <f>K158-L158</f>
        <v/>
      </c>
      <c r="N158" s="35">
        <f t="array" ref="N158">_xlfn.IFNA(_xlfn.IFS(M158=0,"PAYE",K158=M158,"NON PAYE"),"PARTIEL")</f>
        <v/>
      </c>
      <c r="O158" s="39" t="n"/>
      <c r="P158" s="39" t="inlineStr">
        <is>
          <t>DECHARGE</t>
        </is>
      </c>
      <c r="Q158" s="42" t="inlineStr">
        <is>
          <t>GDIZ</t>
        </is>
      </c>
    </row>
    <row r="159">
      <c r="A159" s="48" t="n">
        <v>46284</v>
      </c>
      <c r="B159" s="36" t="n"/>
      <c r="C159" s="41" t="n">
        <v>1155</v>
      </c>
      <c r="D159" s="36" t="inlineStr">
        <is>
          <t>FRS00047</t>
        </is>
      </c>
      <c r="E159" s="37">
        <f>_xlfn.XLOOKUP(D159,'CODE FRS'!B:B,'CODE FRS'!C:C)</f>
        <v/>
      </c>
      <c r="F159" s="35" t="inlineStr">
        <is>
          <t>BS9711RB/BX0221RB</t>
        </is>
      </c>
      <c r="G159" s="35" t="n">
        <v>36000</v>
      </c>
      <c r="H159" s="38" t="n">
        <v>45660</v>
      </c>
      <c r="I159" s="38" t="n">
        <v>457</v>
      </c>
      <c r="J159" s="38" t="n">
        <v>330</v>
      </c>
      <c r="K159" s="38">
        <f>H159*J159</f>
        <v/>
      </c>
      <c r="L159" s="38" t="n">
        <v>0</v>
      </c>
      <c r="M159" s="38">
        <f>K159-L159</f>
        <v/>
      </c>
      <c r="N159" s="35">
        <f t="array" ref="N159">_xlfn.IFNA(_xlfn.IFS(M159=0,"PAYE",K159=M159,"NON PAYE"),"PARTIEL")</f>
        <v/>
      </c>
      <c r="O159" s="39" t="n"/>
      <c r="P159" s="39" t="inlineStr">
        <is>
          <t>DECHARGE</t>
        </is>
      </c>
      <c r="Q159" s="42" t="inlineStr">
        <is>
          <t>GDIZ</t>
        </is>
      </c>
    </row>
    <row r="160">
      <c r="A160" s="48" t="n">
        <v>46284</v>
      </c>
      <c r="B160" s="36" t="n"/>
      <c r="C160" s="41" t="n">
        <v>1156</v>
      </c>
      <c r="D160" s="36" t="inlineStr">
        <is>
          <t>FRS00021</t>
        </is>
      </c>
      <c r="E160" s="37">
        <f>_xlfn.XLOOKUP(D160,'CODE FRS'!B:B,'CODE FRS'!C:C)</f>
        <v/>
      </c>
      <c r="F160" s="35" t="inlineStr">
        <is>
          <t>CH3119RB/AS9095RB</t>
        </is>
      </c>
      <c r="G160" s="35" t="n">
        <v>35994</v>
      </c>
      <c r="H160" s="38" t="n">
        <v>46780</v>
      </c>
      <c r="I160" s="38" t="n">
        <v>519</v>
      </c>
      <c r="J160" s="38" t="n">
        <v>330</v>
      </c>
      <c r="K160" s="38">
        <f>H160*J160</f>
        <v/>
      </c>
      <c r="L160" s="38" t="n">
        <v>0</v>
      </c>
      <c r="M160" s="38">
        <f>K160-L160</f>
        <v/>
      </c>
      <c r="N160" s="35">
        <f t="array" ref="N160">_xlfn.IFNA(_xlfn.IFS(M160=0,"PAYE",K160=M160,"NON PAYE"),"PARTIEL")</f>
        <v/>
      </c>
      <c r="O160" s="39" t="n"/>
      <c r="P160" s="39" t="inlineStr">
        <is>
          <t>DECHARGE</t>
        </is>
      </c>
      <c r="Q160" s="42" t="inlineStr">
        <is>
          <t>GDIZ</t>
        </is>
      </c>
    </row>
    <row r="161">
      <c r="A161" s="48" t="n">
        <v>46284</v>
      </c>
      <c r="B161" s="36" t="n"/>
      <c r="C161" s="41" t="n">
        <v>1157</v>
      </c>
      <c r="D161" s="36" t="inlineStr">
        <is>
          <t>FRS00006</t>
        </is>
      </c>
      <c r="E161" s="37">
        <f>_xlfn.XLOOKUP(D161,'CODE FRS'!B:B,'CODE FRS'!C:C)</f>
        <v/>
      </c>
      <c r="F161" s="35" t="inlineStr">
        <is>
          <t>BT6961RB/AT1852RB</t>
        </is>
      </c>
      <c r="G161" s="35" t="n">
        <v>35995</v>
      </c>
      <c r="H161" s="38" t="n">
        <v>38260</v>
      </c>
      <c r="I161" s="38" t="n">
        <v>444</v>
      </c>
      <c r="J161" s="38" t="n">
        <v>330</v>
      </c>
      <c r="K161" s="38">
        <f>H161*J161</f>
        <v/>
      </c>
      <c r="L161" s="38" t="n">
        <v>0</v>
      </c>
      <c r="M161" s="38">
        <f>K161-L161</f>
        <v/>
      </c>
      <c r="N161" s="35">
        <f t="array" ref="N161">_xlfn.IFNA(_xlfn.IFS(M161=0,"PAYE",K161=M161,"NON PAYE"),"PARTIEL")</f>
        <v/>
      </c>
      <c r="O161" s="39" t="n"/>
      <c r="P161" s="39" t="inlineStr">
        <is>
          <t>DECHARGE</t>
        </is>
      </c>
      <c r="Q161" s="42" t="inlineStr">
        <is>
          <t>GDIZ</t>
        </is>
      </c>
    </row>
    <row r="162">
      <c r="A162" s="48" t="n">
        <v>46285</v>
      </c>
      <c r="B162" s="36" t="n"/>
      <c r="C162" s="41" t="n">
        <v>1158</v>
      </c>
      <c r="D162" s="36" t="inlineStr">
        <is>
          <t>FRS00004</t>
        </is>
      </c>
      <c r="E162" s="37">
        <f>_xlfn.XLOOKUP(D162,'CODE FRS'!B:B,'CODE FRS'!C:C)</f>
        <v/>
      </c>
      <c r="F162" s="35" t="inlineStr">
        <is>
          <t>CC4207RB/CD6286RB</t>
        </is>
      </c>
      <c r="G162" s="35" t="n">
        <v>36001</v>
      </c>
      <c r="H162" s="38" t="n">
        <v>48540</v>
      </c>
      <c r="I162" s="38" t="n">
        <v>500</v>
      </c>
      <c r="J162" s="38" t="n">
        <v>330</v>
      </c>
      <c r="K162" s="38">
        <f>H162*J162</f>
        <v/>
      </c>
      <c r="L162" s="38" t="n">
        <v>0</v>
      </c>
      <c r="M162" s="38">
        <f>K162-L162</f>
        <v/>
      </c>
      <c r="N162" s="35">
        <f t="array" ref="N162">_xlfn.IFNA(_xlfn.IFS(M162=0,"PAYE",K162=M162,"NON PAYE"),"PARTIEL")</f>
        <v/>
      </c>
      <c r="O162" s="39" t="n"/>
      <c r="P162" s="39" t="inlineStr">
        <is>
          <t>DECHARGE</t>
        </is>
      </c>
      <c r="Q162" s="42" t="inlineStr">
        <is>
          <t>GDIZ</t>
        </is>
      </c>
    </row>
    <row r="163">
      <c r="A163" s="48" t="n">
        <v>46285</v>
      </c>
      <c r="B163" s="36" t="n"/>
      <c r="C163" s="41" t="n">
        <v>1159</v>
      </c>
      <c r="D163" s="36" t="inlineStr">
        <is>
          <t>FRS00048</t>
        </is>
      </c>
      <c r="E163" s="37">
        <f>_xlfn.XLOOKUP(D163,'CODE FRS'!B:B,'CODE FRS'!C:C)</f>
        <v/>
      </c>
      <c r="F163" s="35" t="inlineStr">
        <is>
          <t>CF1589RB/BS9736RB</t>
        </is>
      </c>
      <c r="G163" s="35" t="n">
        <v>35999</v>
      </c>
      <c r="H163" s="38" t="n">
        <v>49900</v>
      </c>
      <c r="I163" s="38" t="n">
        <v>522</v>
      </c>
      <c r="J163" s="38" t="n">
        <v>330</v>
      </c>
      <c r="K163" s="38">
        <f>H163*J163</f>
        <v/>
      </c>
      <c r="L163" s="38" t="n">
        <v>0</v>
      </c>
      <c r="M163" s="38">
        <f>K163-L163</f>
        <v/>
      </c>
      <c r="N163" s="35">
        <f t="array" ref="N163">_xlfn.IFNA(_xlfn.IFS(M163=0,"PAYE",K163=M163,"NON PAYE"),"PARTIEL")</f>
        <v/>
      </c>
      <c r="O163" s="39" t="n"/>
      <c r="P163" s="39" t="inlineStr">
        <is>
          <t>DECHARGE</t>
        </is>
      </c>
      <c r="Q163" s="42" t="inlineStr">
        <is>
          <t>GDIZ</t>
        </is>
      </c>
    </row>
    <row r="164">
      <c r="A164" s="48" t="n">
        <v>46285</v>
      </c>
      <c r="B164" s="36" t="n"/>
      <c r="C164" s="41" t="n">
        <v>1160</v>
      </c>
      <c r="D164" s="36" t="inlineStr">
        <is>
          <t>FRS00001</t>
        </is>
      </c>
      <c r="E164" s="37">
        <f>_xlfn.XLOOKUP(D164,'CODE FRS'!B:B,'CODE FRS'!C:C)</f>
        <v/>
      </c>
      <c r="F164" s="35" t="inlineStr">
        <is>
          <t>CE5406RB/CB7487RB</t>
        </is>
      </c>
      <c r="G164" s="35" t="n">
        <v>36015</v>
      </c>
      <c r="H164" s="38" t="n">
        <v>46360</v>
      </c>
      <c r="I164" s="38" t="n">
        <v>447</v>
      </c>
      <c r="J164" s="38" t="n">
        <v>330</v>
      </c>
      <c r="K164" s="38">
        <f>H164*J164</f>
        <v/>
      </c>
      <c r="L164" s="38" t="n">
        <v>0</v>
      </c>
      <c r="M164" s="38">
        <f>K164-L164</f>
        <v/>
      </c>
      <c r="N164" s="35">
        <f t="array" ref="N164">_xlfn.IFNA(_xlfn.IFS(M164=0,"PAYE",K164=M164,"NON PAYE"),"PARTIEL")</f>
        <v/>
      </c>
      <c r="O164" s="39" t="n"/>
      <c r="P164" s="39" t="inlineStr">
        <is>
          <t>DECHARGE</t>
        </is>
      </c>
      <c r="Q164" s="42" t="inlineStr">
        <is>
          <t>GDIZ</t>
        </is>
      </c>
    </row>
    <row r="165">
      <c r="A165" s="48" t="n">
        <v>46285</v>
      </c>
      <c r="B165" s="36" t="n"/>
      <c r="C165" s="41" t="n">
        <v>1161</v>
      </c>
      <c r="D165" s="36" t="inlineStr">
        <is>
          <t>FRS00026</t>
        </is>
      </c>
      <c r="E165" s="37">
        <f>_xlfn.XLOOKUP(D165,'CODE FRS'!B:B,'CODE FRS'!C:C)</f>
        <v/>
      </c>
      <c r="F165" s="35" t="inlineStr">
        <is>
          <t>BD6670RB/BC8458RB</t>
        </is>
      </c>
      <c r="G165" s="35" t="n">
        <v>36014</v>
      </c>
      <c r="H165" s="38" t="n">
        <v>50000</v>
      </c>
      <c r="I165" s="38" t="n">
        <v>485</v>
      </c>
      <c r="J165" s="38" t="n">
        <v>330</v>
      </c>
      <c r="K165" s="38">
        <f>H165*J165</f>
        <v/>
      </c>
      <c r="L165" s="38" t="n">
        <v>0</v>
      </c>
      <c r="M165" s="38">
        <f>K165-L165</f>
        <v/>
      </c>
      <c r="N165" s="35">
        <f t="array" ref="N165">_xlfn.IFNA(_xlfn.IFS(M165=0,"PAYE",K165=M165,"NON PAYE"),"PARTIEL")</f>
        <v/>
      </c>
      <c r="O165" s="39" t="n"/>
      <c r="P165" s="39" t="inlineStr">
        <is>
          <t>DECHARGE</t>
        </is>
      </c>
      <c r="Q165" s="42" t="inlineStr">
        <is>
          <t>GDIZ</t>
        </is>
      </c>
    </row>
    <row r="166">
      <c r="A166" s="48" t="n">
        <v>46285</v>
      </c>
      <c r="B166" s="36" t="n"/>
      <c r="C166" s="41" t="n">
        <v>1162</v>
      </c>
      <c r="D166" s="36" t="inlineStr">
        <is>
          <t>FRS00015</t>
        </is>
      </c>
      <c r="E166" s="37">
        <f>_xlfn.XLOOKUP(D166,'CODE FRS'!B:B,'CODE FRS'!C:C)</f>
        <v/>
      </c>
      <c r="F166" s="35" t="inlineStr">
        <is>
          <t>CF7287RB/BD4567RB</t>
        </is>
      </c>
      <c r="G166" s="35" t="n">
        <v>36016</v>
      </c>
      <c r="H166" s="38" t="n">
        <v>50380</v>
      </c>
      <c r="I166" s="38" t="n">
        <v>623</v>
      </c>
      <c r="J166" s="38" t="n">
        <v>330</v>
      </c>
      <c r="K166" s="38">
        <f>H166*J166</f>
        <v/>
      </c>
      <c r="L166" s="38" t="n">
        <v>0</v>
      </c>
      <c r="M166" s="38">
        <f>K166-L166</f>
        <v/>
      </c>
      <c r="N166" s="35">
        <f t="array" ref="N166">_xlfn.IFNA(_xlfn.IFS(M166=0,"PAYE",K166=M166,"NON PAYE"),"PARTIEL")</f>
        <v/>
      </c>
      <c r="O166" s="39" t="n"/>
      <c r="P166" s="39" t="inlineStr">
        <is>
          <t>DECHARGE</t>
        </is>
      </c>
      <c r="Q166" s="42" t="inlineStr">
        <is>
          <t>GDIZ</t>
        </is>
      </c>
    </row>
    <row r="167">
      <c r="A167" s="48" t="n">
        <v>46286</v>
      </c>
      <c r="B167" s="36" t="n"/>
      <c r="C167" s="41" t="n">
        <v>1163</v>
      </c>
      <c r="D167" s="36" t="inlineStr">
        <is>
          <t>FRS00026</t>
        </is>
      </c>
      <c r="E167" s="37">
        <f>_xlfn.XLOOKUP(D167,'CODE FRS'!B:B,'CODE FRS'!C:C)</f>
        <v/>
      </c>
      <c r="F167" s="35" t="inlineStr">
        <is>
          <t>BX8310RB/BX9639RB</t>
        </is>
      </c>
      <c r="G167" s="35" t="n">
        <v>36047</v>
      </c>
      <c r="H167" s="38" t="n">
        <v>49940</v>
      </c>
      <c r="I167" s="38" t="n">
        <v>523</v>
      </c>
      <c r="J167" s="38" t="n">
        <v>330</v>
      </c>
      <c r="K167" s="38">
        <f>H167*J167</f>
        <v/>
      </c>
      <c r="L167" s="38" t="n">
        <v>0</v>
      </c>
      <c r="M167" s="38">
        <f>K167-L167</f>
        <v/>
      </c>
      <c r="N167" s="35">
        <f t="array" ref="N167">_xlfn.IFNA(_xlfn.IFS(M167=0,"PAYE",K167=M167,"NON PAYE"),"PARTIEL")</f>
        <v/>
      </c>
      <c r="O167" s="39" t="n"/>
      <c r="P167" s="39" t="inlineStr">
        <is>
          <t>DECHARGE</t>
        </is>
      </c>
      <c r="Q167" s="42" t="inlineStr">
        <is>
          <t>GDIZ</t>
        </is>
      </c>
    </row>
    <row r="168">
      <c r="A168" s="48" t="n">
        <v>46286</v>
      </c>
      <c r="B168" s="36" t="n"/>
      <c r="C168" s="41" t="n">
        <v>1164</v>
      </c>
      <c r="D168" s="36" t="inlineStr">
        <is>
          <t>FRS00011</t>
        </is>
      </c>
      <c r="E168" s="37">
        <f>_xlfn.XLOOKUP(D168,'CODE FRS'!B:B,'CODE FRS'!C:C)</f>
        <v/>
      </c>
      <c r="F168" s="35" t="inlineStr">
        <is>
          <t>BA1086RB/AF1899RB</t>
        </is>
      </c>
      <c r="G168" s="35" t="n">
        <v>36057</v>
      </c>
      <c r="H168" s="38" t="n">
        <v>14480</v>
      </c>
      <c r="I168" s="38" t="n">
        <v>129</v>
      </c>
      <c r="J168" s="38" t="n">
        <v>330</v>
      </c>
      <c r="K168" s="38">
        <f>H168*J168</f>
        <v/>
      </c>
      <c r="L168" s="38" t="n">
        <v>0</v>
      </c>
      <c r="M168" s="38">
        <f>K168-L168</f>
        <v/>
      </c>
      <c r="N168" s="35">
        <f t="array" ref="N168">_xlfn.IFNA(_xlfn.IFS(M168=0,"PAYE",K168=M168,"NON PAYE"),"PARTIEL")</f>
        <v/>
      </c>
      <c r="O168" s="39" t="n"/>
      <c r="P168" s="39" t="inlineStr">
        <is>
          <t>DECHARGE</t>
        </is>
      </c>
      <c r="Q168" s="42" t="inlineStr">
        <is>
          <t>GDIZ</t>
        </is>
      </c>
    </row>
    <row r="169">
      <c r="A169" s="48" t="n">
        <v>46286</v>
      </c>
      <c r="B169" s="36" t="n"/>
      <c r="C169" s="41" t="n">
        <v>1165</v>
      </c>
      <c r="D169" s="36" t="inlineStr">
        <is>
          <t>FRS00026</t>
        </is>
      </c>
      <c r="E169" s="37">
        <f>_xlfn.XLOOKUP(D169,'CODE FRS'!B:B,'CODE FRS'!C:C)</f>
        <v/>
      </c>
      <c r="F169" s="35" t="inlineStr">
        <is>
          <t>BV3975RB/AN0463RB</t>
        </is>
      </c>
      <c r="G169" s="35" t="n">
        <v>36068</v>
      </c>
      <c r="H169" s="38" t="n">
        <v>46160</v>
      </c>
      <c r="I169" s="38" t="n">
        <v>522</v>
      </c>
      <c r="J169" s="38" t="n">
        <v>330</v>
      </c>
      <c r="K169" s="38">
        <f>H169*J169</f>
        <v/>
      </c>
      <c r="L169" s="38" t="n">
        <v>0</v>
      </c>
      <c r="M169" s="38">
        <f>K169-L169</f>
        <v/>
      </c>
      <c r="N169" s="35">
        <f t="array" ref="N169">_xlfn.IFNA(_xlfn.IFS(M169=0,"PAYE",K169=M169,"NON PAYE"),"PARTIEL")</f>
        <v/>
      </c>
      <c r="O169" s="39" t="n"/>
      <c r="P169" s="39" t="inlineStr">
        <is>
          <t>DECHARGE</t>
        </is>
      </c>
      <c r="Q169" s="42" t="inlineStr">
        <is>
          <t>GDIZ</t>
        </is>
      </c>
    </row>
    <row r="170">
      <c r="A170" s="48" t="n">
        <v>46286</v>
      </c>
      <c r="B170" s="36" t="n"/>
      <c r="C170" s="41" t="n">
        <v>1166</v>
      </c>
      <c r="D170" s="36" t="inlineStr">
        <is>
          <t>FRS00001</t>
        </is>
      </c>
      <c r="E170" s="37">
        <f>_xlfn.XLOOKUP(D170,'CODE FRS'!B:B,'CODE FRS'!C:C)</f>
        <v/>
      </c>
      <c r="F170" s="35" t="inlineStr">
        <is>
          <t>BG5496RB/BN2261RB</t>
        </is>
      </c>
      <c r="G170" s="35" t="n">
        <v>36050</v>
      </c>
      <c r="H170" s="38" t="n">
        <v>28160</v>
      </c>
      <c r="I170" s="38" t="n">
        <v>297</v>
      </c>
      <c r="J170" s="38" t="n">
        <v>330</v>
      </c>
      <c r="K170" s="38">
        <f>H170*J170</f>
        <v/>
      </c>
      <c r="L170" s="38" t="n">
        <v>0</v>
      </c>
      <c r="M170" s="38">
        <f>K170-L170</f>
        <v/>
      </c>
      <c r="N170" s="35">
        <f t="array" ref="N170">_xlfn.IFNA(_xlfn.IFS(M170=0,"PAYE",K170=M170,"NON PAYE"),"PARTIEL")</f>
        <v/>
      </c>
      <c r="O170" s="39" t="n"/>
      <c r="P170" s="39" t="inlineStr">
        <is>
          <t>DECHARGE</t>
        </is>
      </c>
      <c r="Q170" s="42" t="inlineStr">
        <is>
          <t>GDIZ</t>
        </is>
      </c>
    </row>
    <row r="171">
      <c r="A171" s="48" t="n">
        <v>47383</v>
      </c>
      <c r="B171" s="36" t="n"/>
      <c r="C171" s="41" t="n">
        <v>1167</v>
      </c>
      <c r="D171" s="36" t="inlineStr">
        <is>
          <t>FRS00026</t>
        </is>
      </c>
      <c r="E171" s="37">
        <f>_xlfn.XLOOKUP(D171,'CODE FRS'!B:B,'CODE FRS'!C:C)</f>
        <v/>
      </c>
      <c r="F171" s="35" t="inlineStr">
        <is>
          <t>BH3279RB/AN6675RB</t>
        </is>
      </c>
      <c r="G171" s="35" t="n">
        <v>36048</v>
      </c>
      <c r="H171" s="38" t="n">
        <v>50140</v>
      </c>
      <c r="I171" s="38" t="n">
        <v>556</v>
      </c>
      <c r="J171" s="38" t="n">
        <v>330</v>
      </c>
      <c r="K171" s="38">
        <f>H171*J171</f>
        <v/>
      </c>
      <c r="L171" s="38" t="n">
        <v>0</v>
      </c>
      <c r="M171" s="38">
        <f>K171-L171</f>
        <v/>
      </c>
      <c r="N171" s="35">
        <f t="array" ref="N171">_xlfn.IFNA(_xlfn.IFS(M171=0,"PAYE",K171=M171,"NON PAYE"),"PARTIEL")</f>
        <v/>
      </c>
      <c r="O171" s="39" t="n"/>
      <c r="P171" s="39" t="inlineStr">
        <is>
          <t>DECHARGE</t>
        </is>
      </c>
      <c r="Q171" s="42" t="inlineStr">
        <is>
          <t>GDIZ</t>
        </is>
      </c>
    </row>
    <row r="172">
      <c r="A172" s="48" t="n">
        <v>46287</v>
      </c>
      <c r="B172" s="36" t="n"/>
      <c r="C172" s="41" t="n">
        <v>1168</v>
      </c>
      <c r="D172" s="36" t="inlineStr">
        <is>
          <t>FRS00019</t>
        </is>
      </c>
      <c r="E172" s="37">
        <f>_xlfn.XLOOKUP(D172,'CODE FRS'!B:B,'CODE FRS'!C:C)</f>
        <v/>
      </c>
      <c r="F172" s="35" t="inlineStr">
        <is>
          <t>CF5192RB/BT5099RB</t>
        </is>
      </c>
      <c r="G172" s="35" t="n">
        <v>36053</v>
      </c>
      <c r="H172" s="38" t="n">
        <v>49440</v>
      </c>
      <c r="I172" s="38" t="n">
        <v>554</v>
      </c>
      <c r="J172" s="38" t="n">
        <v>330</v>
      </c>
      <c r="K172" s="38">
        <f>H172*J172</f>
        <v/>
      </c>
      <c r="L172" s="38" t="n">
        <v>0</v>
      </c>
      <c r="M172" s="38">
        <f>K172-L172</f>
        <v/>
      </c>
      <c r="N172" s="35">
        <f t="array" ref="N172">_xlfn.IFNA(_xlfn.IFS(M172=0,"PAYE",K172=M172,"NON PAYE"),"PARTIEL")</f>
        <v/>
      </c>
      <c r="O172" s="39" t="n"/>
      <c r="P172" s="39" t="inlineStr">
        <is>
          <t>DECHARGE</t>
        </is>
      </c>
      <c r="Q172" s="42" t="inlineStr">
        <is>
          <t>GDIZ</t>
        </is>
      </c>
    </row>
    <row r="173">
      <c r="A173" s="48" t="n">
        <v>46287</v>
      </c>
      <c r="B173" s="36" t="n"/>
      <c r="C173" s="41" t="n">
        <v>1169</v>
      </c>
      <c r="D173" s="36" t="inlineStr">
        <is>
          <t>FRS00020</t>
        </is>
      </c>
      <c r="E173" s="37">
        <f>_xlfn.XLOOKUP(D173,'CODE FRS'!B:B,'CODE FRS'!C:C)</f>
        <v/>
      </c>
      <c r="F173" s="35" t="inlineStr">
        <is>
          <t>BD2087RB/BD2088RB</t>
        </is>
      </c>
      <c r="G173" s="35" t="n">
        <v>36077</v>
      </c>
      <c r="H173" s="38" t="n">
        <v>42080</v>
      </c>
      <c r="I173" s="38" t="n">
        <v>425</v>
      </c>
      <c r="J173" s="38" t="n">
        <v>330</v>
      </c>
      <c r="K173" s="38">
        <f>H173*J173</f>
        <v/>
      </c>
      <c r="L173" s="38" t="n">
        <v>0</v>
      </c>
      <c r="M173" s="38">
        <f>K173-L173</f>
        <v/>
      </c>
      <c r="N173" s="35">
        <f t="array" ref="N173">_xlfn.IFNA(_xlfn.IFS(M173=0,"PAYE",K173=M173,"NON PAYE"),"PARTIEL")</f>
        <v/>
      </c>
      <c r="O173" s="39" t="n"/>
      <c r="P173" s="39" t="inlineStr">
        <is>
          <t>DECHARGE</t>
        </is>
      </c>
      <c r="Q173" s="42" t="inlineStr">
        <is>
          <t>GDIZ</t>
        </is>
      </c>
    </row>
    <row r="174">
      <c r="A174" s="48" t="n">
        <v>46287</v>
      </c>
      <c r="B174" s="36" t="n"/>
      <c r="C174" s="41" t="n">
        <v>1170</v>
      </c>
      <c r="D174" s="36" t="inlineStr">
        <is>
          <t>FRS00059</t>
        </is>
      </c>
      <c r="E174" s="37">
        <f>_xlfn.XLOOKUP(D174,'CODE FRS'!B:B,'CODE FRS'!C:C)</f>
        <v/>
      </c>
      <c r="F174" s="35" t="inlineStr">
        <is>
          <t>BK2938RB/BD3428RB</t>
        </is>
      </c>
      <c r="G174" s="35" t="n">
        <v>36054</v>
      </c>
      <c r="H174" s="38" t="n">
        <v>2300</v>
      </c>
      <c r="I174" s="38" t="n">
        <v>28</v>
      </c>
      <c r="J174" s="38" t="n">
        <v>330</v>
      </c>
      <c r="K174" s="38">
        <f>H174*J174</f>
        <v/>
      </c>
      <c r="L174" s="38" t="n">
        <v>0</v>
      </c>
      <c r="M174" s="38">
        <f>K174-L174</f>
        <v/>
      </c>
      <c r="N174" s="35">
        <f t="array" ref="N174">_xlfn.IFNA(_xlfn.IFS(M174=0,"PAYE",K174=M174,"NON PAYE"),"PARTIEL")</f>
        <v/>
      </c>
      <c r="O174" s="39" t="n"/>
      <c r="P174" s="39" t="inlineStr">
        <is>
          <t>DECHARGE</t>
        </is>
      </c>
      <c r="Q174" s="42" t="inlineStr">
        <is>
          <t>GDIZ</t>
        </is>
      </c>
    </row>
  </sheetData>
  <conditionalFormatting sqref="G1:G1048576">
    <cfRule type="duplicateValues" priority="1" dxfId="3"/>
    <cfRule type="duplicateValues" priority="2" dxfId="3"/>
    <cfRule type="duplicateValues" priority="3" dxfId="3"/>
  </conditionalFormatting>
  <conditionalFormatting sqref="N5:P174">
    <cfRule type="cellIs" priority="5" operator="equal" dxfId="2">
      <formula>"PAYE"</formula>
    </cfRule>
    <cfRule type="cellIs" priority="6" operator="equal" dxfId="1">
      <formula>"PARTIEL"</formula>
    </cfRule>
    <cfRule type="cellIs" priority="7" operator="equal" dxfId="0">
      <formula>"NON PAYE"</formula>
    </cfRule>
  </conditionalFormatting>
  <pageMargins left="0.3" right="0.3" top="0.4" bottom="0.4" header="0.511811023622047" footer="0.511811023622047"/>
  <pageSetup orientation="landscape" scale="38" fitToHeight="0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C1:N50"/>
  <sheetViews>
    <sheetView showGridLines="0" zoomScale="85" zoomScaleNormal="98" workbookViewId="0">
      <pane ySplit="4" topLeftCell="A37" activePane="bottomLeft" state="frozen"/>
      <selection pane="bottomLeft" activeCell="G44" sqref="G44"/>
    </sheetView>
  </sheetViews>
  <sheetFormatPr baseColWidth="10" defaultColWidth="8.6328125" defaultRowHeight="14.5"/>
  <cols>
    <col width="14.1796875" bestFit="1" customWidth="1" min="3" max="3"/>
    <col width="36.26953125" customWidth="1" min="4" max="4"/>
    <col width="18" bestFit="1" customWidth="1" min="5" max="5"/>
    <col width="12.36328125" bestFit="1" customWidth="1" min="6" max="6"/>
    <col width="22.1796875" bestFit="1" customWidth="1" min="7" max="7"/>
    <col width="20.453125" customWidth="1" min="8" max="8"/>
    <col width="24.1796875" customWidth="1" min="9" max="9"/>
    <col width="22.08984375" customWidth="1" min="10" max="10"/>
    <col width="24.1796875" customWidth="1" min="11" max="11"/>
    <col width="15.90625" customWidth="1" min="12" max="12"/>
  </cols>
  <sheetData>
    <row r="1" ht="42" customHeight="1">
      <c r="C1" s="59" t="inlineStr">
        <is>
          <t>RELEVE DE COMPTES PAR FOURNISSEUR</t>
        </is>
      </c>
    </row>
    <row r="2" ht="18" customHeight="1">
      <c r="C2" s="60" t="n"/>
    </row>
    <row r="3" ht="31.5" customHeight="1">
      <c r="E3" s="20">
        <f>SUBTOTAL(9,Table3[Nb BC Passes])</f>
        <v/>
      </c>
      <c r="F3" s="20">
        <f>SUBTOTAL(9,Table3[Nb rejet])</f>
        <v/>
      </c>
      <c r="G3" s="20">
        <f>SUBTOTAL(9,Table3[Nb Camions Livres])</f>
        <v/>
      </c>
      <c r="H3" s="73">
        <f>SUBTOTAL(9,Table3[Poids Net Livre (KG)])</f>
        <v/>
      </c>
      <c r="I3" s="74">
        <f>SUBTOTAL(9,Table3[Montant Total Du (FCFA)])</f>
        <v/>
      </c>
      <c r="J3" s="75">
        <f>SUBTOTAL(9,Table3[Montant Paye (FCFA)])</f>
        <v/>
      </c>
      <c r="K3" s="76">
        <f>SUBTOTAL(9,Table3[Solde Restant Du (FCFA)])</f>
        <v/>
      </c>
      <c r="L3" s="7" t="n"/>
    </row>
    <row r="4" ht="31.5" customHeight="1">
      <c r="C4" s="13" t="inlineStr">
        <is>
          <t>Code FRS</t>
        </is>
      </c>
      <c r="D4" s="14" t="inlineStr">
        <is>
          <t>Fournisseur</t>
        </is>
      </c>
      <c r="E4" s="6" t="inlineStr">
        <is>
          <t>Nb BC Passes</t>
        </is>
      </c>
      <c r="F4" s="6" t="inlineStr">
        <is>
          <t>Nb rejet</t>
        </is>
      </c>
      <c r="G4" s="6" t="inlineStr">
        <is>
          <t>Nb Camions Livres</t>
        </is>
      </c>
      <c r="H4" s="6" t="inlineStr">
        <is>
          <t>Poids Net Livre (KG)</t>
        </is>
      </c>
      <c r="I4" s="6" t="inlineStr">
        <is>
          <t>Montant Total Du (FCFA)</t>
        </is>
      </c>
      <c r="J4" s="6" t="inlineStr">
        <is>
          <t>Montant Paye (FCFA)</t>
        </is>
      </c>
      <c r="K4" s="6" t="inlineStr">
        <is>
          <t>Solde Restant Du (FCFA)</t>
        </is>
      </c>
      <c r="L4" s="15" t="inlineStr">
        <is>
          <t>% Paye</t>
        </is>
      </c>
    </row>
    <row r="5" ht="20.5" customHeight="1">
      <c r="C5" s="12">
        <f>'CODE FRS'!B4</f>
        <v/>
      </c>
      <c r="D5" s="5">
        <f>_xlfn.XLOOKUP(C5,'CODE FRS'!B:B,'CODE FRS'!C:C)</f>
        <v/>
      </c>
      <c r="E5" s="2">
        <f>COUNTIF('Bons de Commande'!E:E,Table3[[#This Row],[Code FRS]])</f>
        <v/>
      </c>
      <c r="F5" s="2">
        <f>COUNTIFS(Table1[Statut Livraison],"REJETE",Table1[Fournisseur],Table3[[#This Row],[Fournisseur]])</f>
        <v/>
      </c>
      <c r="G5" s="2">
        <f>COUNTIF('Commandes Dechargees'!D:D,Table3[[#This Row],[Code FRS]])</f>
        <v/>
      </c>
      <c r="H5" s="4">
        <f>SUMIFS('Commandes Dechargees'!H:H,'Commandes Dechargees'!D:D,Table3[[#This Row],[Code FRS]])</f>
        <v/>
      </c>
      <c r="I5" s="4">
        <f>SUMIFS('Commandes Dechargees'!K:K,'Commandes Dechargees'!D:D,Table3[[#This Row],[Code FRS]])</f>
        <v/>
      </c>
      <c r="J5" s="4">
        <f>SUMIFS('Commandes Dechargees'!L:L,'Commandes Dechargees'!D:D,Table3[[#This Row],[Code FRS]])</f>
        <v/>
      </c>
      <c r="K5" s="4">
        <f>I5-J5</f>
        <v/>
      </c>
      <c r="L5" s="16">
        <f>IFERROR(J5/I5,0)</f>
        <v/>
      </c>
    </row>
    <row r="6" ht="20.5" customHeight="1">
      <c r="C6" s="12">
        <f>'CODE FRS'!B5</f>
        <v/>
      </c>
      <c r="D6" s="5">
        <f>_xlfn.XLOOKUP(C6,'CODE FRS'!B:B,'CODE FRS'!C:C)</f>
        <v/>
      </c>
      <c r="E6" s="2">
        <f>COUNTIF('Bons de Commande'!E:E,Table3[[#This Row],[Code FRS]])</f>
        <v/>
      </c>
      <c r="F6" s="2">
        <f>COUNTIFS(Table1[Statut Livraison],"REJETE",Table1[Fournisseur],Table3[[#This Row],[Fournisseur]])</f>
        <v/>
      </c>
      <c r="G6" s="2">
        <f>COUNTIF('Commandes Dechargees'!D:D,Table3[[#This Row],[Code FRS]])</f>
        <v/>
      </c>
      <c r="H6" s="4">
        <f>SUMIFS('Commandes Dechargees'!H:H,'Commandes Dechargees'!D:D,Table3[[#This Row],[Code FRS]])</f>
        <v/>
      </c>
      <c r="I6" s="4">
        <f>SUMIFS('Commandes Dechargees'!K:K,'Commandes Dechargees'!D:D,Table3[[#This Row],[Code FRS]])</f>
        <v/>
      </c>
      <c r="J6" s="4">
        <f>SUMIFS('Commandes Dechargees'!L:L,'Commandes Dechargees'!D:D,Table3[[#This Row],[Code FRS]])</f>
        <v/>
      </c>
      <c r="K6" s="4">
        <f>I6-J6</f>
        <v/>
      </c>
      <c r="L6" s="16">
        <f>IFERROR(J6/I6,0)</f>
        <v/>
      </c>
    </row>
    <row r="7" ht="20.5" customHeight="1">
      <c r="C7" s="12">
        <f>'CODE FRS'!B6</f>
        <v/>
      </c>
      <c r="D7" s="5">
        <f>_xlfn.XLOOKUP(C7,'CODE FRS'!B:B,'CODE FRS'!C:C)</f>
        <v/>
      </c>
      <c r="E7" s="2">
        <f>COUNTIF('Bons de Commande'!E:E,Table3[[#This Row],[Code FRS]])</f>
        <v/>
      </c>
      <c r="F7" s="2">
        <f>COUNTIFS(Table1[Statut Livraison],"REJETE",Table1[Fournisseur],Table3[[#This Row],[Fournisseur]])</f>
        <v/>
      </c>
      <c r="G7" s="2">
        <f>COUNTIF('Commandes Dechargees'!D:D,Table3[[#This Row],[Code FRS]])</f>
        <v/>
      </c>
      <c r="H7" s="4">
        <f>SUMIFS('Commandes Dechargees'!H:H,'Commandes Dechargees'!D:D,Table3[[#This Row],[Code FRS]])</f>
        <v/>
      </c>
      <c r="I7" s="4">
        <f>SUMIFS('Commandes Dechargees'!K:K,'Commandes Dechargees'!D:D,Table3[[#This Row],[Code FRS]])</f>
        <v/>
      </c>
      <c r="J7" s="4">
        <f>SUMIFS('Commandes Dechargees'!L:L,'Commandes Dechargees'!D:D,Table3[[#This Row],[Code FRS]])</f>
        <v/>
      </c>
      <c r="K7" s="4">
        <f>I7-J7</f>
        <v/>
      </c>
      <c r="L7" s="16">
        <f>IFERROR(J7/I7,0)</f>
        <v/>
      </c>
    </row>
    <row r="8" ht="20.5" customHeight="1">
      <c r="C8" s="12">
        <f>'CODE FRS'!B7</f>
        <v/>
      </c>
      <c r="D8" s="5">
        <f>_xlfn.XLOOKUP(C8,'CODE FRS'!B:B,'CODE FRS'!C:C)</f>
        <v/>
      </c>
      <c r="E8" s="2">
        <f>COUNTIF('Bons de Commande'!E:E,Table3[[#This Row],[Code FRS]])</f>
        <v/>
      </c>
      <c r="F8" s="2">
        <f>COUNTIFS(Table1[Statut Livraison],"REJETE",Table1[Fournisseur],Table3[[#This Row],[Fournisseur]])</f>
        <v/>
      </c>
      <c r="G8" s="2">
        <f>COUNTIF('Commandes Dechargees'!D:D,Table3[[#This Row],[Code FRS]])</f>
        <v/>
      </c>
      <c r="H8" s="4">
        <f>SUMIFS('Commandes Dechargees'!H:H,'Commandes Dechargees'!D:D,Table3[[#This Row],[Code FRS]])</f>
        <v/>
      </c>
      <c r="I8" s="4">
        <f>SUMIFS('Commandes Dechargees'!K:K,'Commandes Dechargees'!D:D,Table3[[#This Row],[Code FRS]])</f>
        <v/>
      </c>
      <c r="J8" s="4">
        <f>SUMIFS('Commandes Dechargees'!L:L,'Commandes Dechargees'!D:D,Table3[[#This Row],[Code FRS]])</f>
        <v/>
      </c>
      <c r="K8" s="4">
        <f>I8-J8</f>
        <v/>
      </c>
      <c r="L8" s="16">
        <f>IFERROR(J8/I8,0)</f>
        <v/>
      </c>
    </row>
    <row r="9" ht="20.5" customHeight="1">
      <c r="C9" s="12">
        <f>'CODE FRS'!B8</f>
        <v/>
      </c>
      <c r="D9" s="5">
        <f>_xlfn.XLOOKUP(C9,'CODE FRS'!B:B,'CODE FRS'!C:C)</f>
        <v/>
      </c>
      <c r="E9" s="2">
        <f>COUNTIF('Bons de Commande'!E:E,Table3[[#This Row],[Code FRS]])</f>
        <v/>
      </c>
      <c r="F9" s="2">
        <f>COUNTIFS(Table1[Statut Livraison],"REJETE",Table1[Fournisseur],Table3[[#This Row],[Fournisseur]])</f>
        <v/>
      </c>
      <c r="G9" s="2">
        <f>COUNTIF('Commandes Dechargees'!D:D,Table3[[#This Row],[Code FRS]])</f>
        <v/>
      </c>
      <c r="H9" s="4">
        <f>SUMIFS('Commandes Dechargees'!H:H,'Commandes Dechargees'!D:D,Table3[[#This Row],[Code FRS]])</f>
        <v/>
      </c>
      <c r="I9" s="4">
        <f>SUMIFS('Commandes Dechargees'!K:K,'Commandes Dechargees'!D:D,Table3[[#This Row],[Code FRS]])</f>
        <v/>
      </c>
      <c r="J9" s="4">
        <f>SUMIFS('Commandes Dechargees'!L:L,'Commandes Dechargees'!D:D,Table3[[#This Row],[Code FRS]])</f>
        <v/>
      </c>
      <c r="K9" s="4">
        <f>I9-J9</f>
        <v/>
      </c>
      <c r="L9" s="16">
        <f>IFERROR(J9/I9,0)</f>
        <v/>
      </c>
    </row>
    <row r="10" ht="20.5" customHeight="1">
      <c r="C10" s="12">
        <f>'CODE FRS'!B9</f>
        <v/>
      </c>
      <c r="D10" s="5">
        <f>_xlfn.XLOOKUP(C10,'CODE FRS'!B:B,'CODE FRS'!C:C)</f>
        <v/>
      </c>
      <c r="E10" s="2">
        <f>COUNTIF('Bons de Commande'!E:E,Table3[[#This Row],[Code FRS]])</f>
        <v/>
      </c>
      <c r="F10" s="2">
        <f>COUNTIFS(Table1[Statut Livraison],"REJETE",Table1[Fournisseur],Table3[[#This Row],[Fournisseur]])</f>
        <v/>
      </c>
      <c r="G10" s="2">
        <f>COUNTIF('Commandes Dechargees'!D:D,Table3[[#This Row],[Code FRS]])</f>
        <v/>
      </c>
      <c r="H10" s="4">
        <f>SUMIFS('Commandes Dechargees'!H:H,'Commandes Dechargees'!D:D,Table3[[#This Row],[Code FRS]])</f>
        <v/>
      </c>
      <c r="I10" s="4">
        <f>SUMIFS('Commandes Dechargees'!K:K,'Commandes Dechargees'!D:D,Table3[[#This Row],[Code FRS]])</f>
        <v/>
      </c>
      <c r="J10" s="4">
        <f>SUMIFS('Commandes Dechargees'!L:L,'Commandes Dechargees'!D:D,Table3[[#This Row],[Code FRS]])</f>
        <v/>
      </c>
      <c r="K10" s="4">
        <f>I10-J10</f>
        <v/>
      </c>
      <c r="L10" s="16">
        <f>IFERROR(J10/I10,0)</f>
        <v/>
      </c>
    </row>
    <row r="11" ht="20.5" customHeight="1">
      <c r="C11" s="12">
        <f>'CODE FRS'!B10</f>
        <v/>
      </c>
      <c r="D11" s="5">
        <f>_xlfn.XLOOKUP(C11,'CODE FRS'!B:B,'CODE FRS'!C:C)</f>
        <v/>
      </c>
      <c r="E11" s="2">
        <f>COUNTIF('Bons de Commande'!E:E,Table3[[#This Row],[Code FRS]])</f>
        <v/>
      </c>
      <c r="F11" s="2">
        <f>COUNTIFS(Table1[Statut Livraison],"REJETE",Table1[Fournisseur],Table3[[#This Row],[Fournisseur]])</f>
        <v/>
      </c>
      <c r="G11" s="2">
        <f>COUNTIF('Commandes Dechargees'!D:D,Table3[[#This Row],[Code FRS]])</f>
        <v/>
      </c>
      <c r="H11" s="4">
        <f>SUMIFS('Commandes Dechargees'!H:H,'Commandes Dechargees'!D:D,Table3[[#This Row],[Code FRS]])</f>
        <v/>
      </c>
      <c r="I11" s="4">
        <f>SUMIFS('Commandes Dechargees'!K:K,'Commandes Dechargees'!D:D,Table3[[#This Row],[Code FRS]])</f>
        <v/>
      </c>
      <c r="J11" s="4">
        <f>SUMIFS('Commandes Dechargees'!L:L,'Commandes Dechargees'!D:D,Table3[[#This Row],[Code FRS]])</f>
        <v/>
      </c>
      <c r="K11" s="4">
        <f>I11-J11</f>
        <v/>
      </c>
      <c r="L11" s="16">
        <f>IFERROR(J11/I11,0)</f>
        <v/>
      </c>
    </row>
    <row r="12" ht="20.5" customHeight="1">
      <c r="C12" s="12">
        <f>'CODE FRS'!B11</f>
        <v/>
      </c>
      <c r="D12" s="5">
        <f>_xlfn.XLOOKUP(C12,'CODE FRS'!B:B,'CODE FRS'!C:C)</f>
        <v/>
      </c>
      <c r="E12" s="2">
        <f>COUNTIF('Bons de Commande'!E:E,Table3[[#This Row],[Code FRS]])</f>
        <v/>
      </c>
      <c r="F12" s="2">
        <f>COUNTIFS(Table1[Statut Livraison],"REJETE",Table1[Fournisseur],Table3[[#This Row],[Fournisseur]])</f>
        <v/>
      </c>
      <c r="G12" s="2">
        <f>COUNTIF('Commandes Dechargees'!D:D,Table3[[#This Row],[Code FRS]])</f>
        <v/>
      </c>
      <c r="H12" s="4">
        <f>SUMIFS('Commandes Dechargees'!H:H,'Commandes Dechargees'!D:D,Table3[[#This Row],[Code FRS]])</f>
        <v/>
      </c>
      <c r="I12" s="4">
        <f>SUMIFS('Commandes Dechargees'!K:K,'Commandes Dechargees'!D:D,Table3[[#This Row],[Code FRS]])</f>
        <v/>
      </c>
      <c r="J12" s="4">
        <f>SUMIFS('Commandes Dechargees'!L:L,'Commandes Dechargees'!D:D,Table3[[#This Row],[Code FRS]])</f>
        <v/>
      </c>
      <c r="K12" s="4">
        <f>I12-J12</f>
        <v/>
      </c>
      <c r="L12" s="16">
        <f>IFERROR(J12/I12,0)</f>
        <v/>
      </c>
    </row>
    <row r="13" ht="20.5" customHeight="1">
      <c r="C13" s="12">
        <f>'CODE FRS'!B12</f>
        <v/>
      </c>
      <c r="D13" s="5">
        <f>_xlfn.XLOOKUP(C13,'CODE FRS'!B:B,'CODE FRS'!C:C)</f>
        <v/>
      </c>
      <c r="E13" s="2">
        <f>COUNTIF('Bons de Commande'!E:E,Table3[[#This Row],[Code FRS]])</f>
        <v/>
      </c>
      <c r="F13" s="2">
        <f>COUNTIFS(Table1[Statut Livraison],"REJETE",Table1[Fournisseur],Table3[[#This Row],[Fournisseur]])</f>
        <v/>
      </c>
      <c r="G13" s="2">
        <f>COUNTIF('Commandes Dechargees'!D:D,Table3[[#This Row],[Code FRS]])</f>
        <v/>
      </c>
      <c r="H13" s="4">
        <f>SUMIFS('Commandes Dechargees'!H:H,'Commandes Dechargees'!D:D,Table3[[#This Row],[Code FRS]])</f>
        <v/>
      </c>
      <c r="I13" s="4">
        <f>SUMIFS('Commandes Dechargees'!K:K,'Commandes Dechargees'!D:D,Table3[[#This Row],[Code FRS]])</f>
        <v/>
      </c>
      <c r="J13" s="4">
        <f>SUMIFS('Commandes Dechargees'!L:L,'Commandes Dechargees'!D:D,Table3[[#This Row],[Code FRS]])</f>
        <v/>
      </c>
      <c r="K13" s="4">
        <f>I13-J13</f>
        <v/>
      </c>
      <c r="L13" s="16">
        <f>IFERROR(J13/I13,0)</f>
        <v/>
      </c>
    </row>
    <row r="14" ht="20.5" customHeight="1">
      <c r="C14" s="12">
        <f>'CODE FRS'!B13</f>
        <v/>
      </c>
      <c r="D14" s="5">
        <f>_xlfn.XLOOKUP(C14,'CODE FRS'!B:B,'CODE FRS'!C:C)</f>
        <v/>
      </c>
      <c r="E14" s="2">
        <f>COUNTIF('Bons de Commande'!E:E,Table3[[#This Row],[Code FRS]])</f>
        <v/>
      </c>
      <c r="F14" s="2">
        <f>COUNTIFS(Table1[Statut Livraison],"REJETE",Table1[Fournisseur],Table3[[#This Row],[Fournisseur]])</f>
        <v/>
      </c>
      <c r="G14" s="2">
        <f>COUNTIF('Commandes Dechargees'!D:D,Table3[[#This Row],[Code FRS]])</f>
        <v/>
      </c>
      <c r="H14" s="4">
        <f>SUMIFS('Commandes Dechargees'!H:H,'Commandes Dechargees'!D:D,Table3[[#This Row],[Code FRS]])</f>
        <v/>
      </c>
      <c r="I14" s="4">
        <f>SUMIFS('Commandes Dechargees'!K:K,'Commandes Dechargees'!D:D,Table3[[#This Row],[Code FRS]])</f>
        <v/>
      </c>
      <c r="J14" s="4">
        <f>SUMIFS('Commandes Dechargees'!L:L,'Commandes Dechargees'!D:D,Table3[[#This Row],[Code FRS]])</f>
        <v/>
      </c>
      <c r="K14" s="4">
        <f>I14-J14</f>
        <v/>
      </c>
      <c r="L14" s="16">
        <f>IFERROR(J14/I14,0)</f>
        <v/>
      </c>
    </row>
    <row r="15" ht="20.5" customHeight="1">
      <c r="C15" s="12">
        <f>'CODE FRS'!B14</f>
        <v/>
      </c>
      <c r="D15" s="5">
        <f>_xlfn.XLOOKUP(C15,'CODE FRS'!B:B,'CODE FRS'!C:C)</f>
        <v/>
      </c>
      <c r="E15" s="2">
        <f>COUNTIF('Bons de Commande'!E:E,Table3[[#This Row],[Code FRS]])</f>
        <v/>
      </c>
      <c r="F15" s="2">
        <f>COUNTIFS(Table1[Statut Livraison],"REJETE",Table1[Fournisseur],Table3[[#This Row],[Fournisseur]])</f>
        <v/>
      </c>
      <c r="G15" s="2">
        <f>COUNTIF('Commandes Dechargees'!D:D,Table3[[#This Row],[Code FRS]])</f>
        <v/>
      </c>
      <c r="H15" s="4">
        <f>SUMIFS('Commandes Dechargees'!H:H,'Commandes Dechargees'!D:D,Table3[[#This Row],[Code FRS]])</f>
        <v/>
      </c>
      <c r="I15" s="4">
        <f>SUMIFS('Commandes Dechargees'!K:K,'Commandes Dechargees'!D:D,Table3[[#This Row],[Code FRS]])</f>
        <v/>
      </c>
      <c r="J15" s="4">
        <f>SUMIFS('Commandes Dechargees'!L:L,'Commandes Dechargees'!D:D,Table3[[#This Row],[Code FRS]])</f>
        <v/>
      </c>
      <c r="K15" s="4">
        <f>I15-J15</f>
        <v/>
      </c>
      <c r="L15" s="16">
        <f>IFERROR(J15/I15,0)</f>
        <v/>
      </c>
    </row>
    <row r="16" ht="20.5" customHeight="1">
      <c r="C16" s="12">
        <f>'CODE FRS'!B15</f>
        <v/>
      </c>
      <c r="D16" s="5">
        <f>_xlfn.XLOOKUP(C16,'CODE FRS'!B:B,'CODE FRS'!C:C)</f>
        <v/>
      </c>
      <c r="E16" s="2">
        <f>COUNTIF('Bons de Commande'!E:E,Table3[[#This Row],[Code FRS]])</f>
        <v/>
      </c>
      <c r="F16" s="2">
        <f>COUNTIFS(Table1[Statut Livraison],"REJETE",Table1[Fournisseur],Table3[[#This Row],[Fournisseur]])</f>
        <v/>
      </c>
      <c r="G16" s="2">
        <f>COUNTIF('Commandes Dechargees'!D:D,Table3[[#This Row],[Code FRS]])</f>
        <v/>
      </c>
      <c r="H16" s="4">
        <f>SUMIFS('Commandes Dechargees'!H:H,'Commandes Dechargees'!D:D,Table3[[#This Row],[Code FRS]])</f>
        <v/>
      </c>
      <c r="I16" s="4">
        <f>SUMIFS('Commandes Dechargees'!K:K,'Commandes Dechargees'!D:D,Table3[[#This Row],[Code FRS]])</f>
        <v/>
      </c>
      <c r="J16" s="4">
        <f>SUMIFS('Commandes Dechargees'!L:L,'Commandes Dechargees'!D:D,Table3[[#This Row],[Code FRS]])</f>
        <v/>
      </c>
      <c r="K16" s="4">
        <f>I16-J16</f>
        <v/>
      </c>
      <c r="L16" s="16">
        <f>IFERROR(J16/I16,0)</f>
        <v/>
      </c>
    </row>
    <row r="17" ht="20.5" customHeight="1">
      <c r="C17" s="12">
        <f>'CODE FRS'!B16</f>
        <v/>
      </c>
      <c r="D17" s="5">
        <f>_xlfn.XLOOKUP(C17,'CODE FRS'!B:B,'CODE FRS'!C:C)</f>
        <v/>
      </c>
      <c r="E17" s="2">
        <f>COUNTIF('Bons de Commande'!E:E,Table3[[#This Row],[Code FRS]])</f>
        <v/>
      </c>
      <c r="F17" s="2">
        <f>COUNTIFS(Table1[Statut Livraison],"REJETE",Table1[Fournisseur],Table3[[#This Row],[Fournisseur]])</f>
        <v/>
      </c>
      <c r="G17" s="2">
        <f>COUNTIF('Commandes Dechargees'!D:D,Table3[[#This Row],[Code FRS]])</f>
        <v/>
      </c>
      <c r="H17" s="4">
        <f>SUMIFS('Commandes Dechargees'!H:H,'Commandes Dechargees'!D:D,Table3[[#This Row],[Code FRS]])</f>
        <v/>
      </c>
      <c r="I17" s="4">
        <f>SUMIFS('Commandes Dechargees'!K:K,'Commandes Dechargees'!D:D,Table3[[#This Row],[Code FRS]])</f>
        <v/>
      </c>
      <c r="J17" s="4">
        <f>SUMIFS('Commandes Dechargees'!L:L,'Commandes Dechargees'!D:D,Table3[[#This Row],[Code FRS]])</f>
        <v/>
      </c>
      <c r="K17" s="4">
        <f>I17-J17</f>
        <v/>
      </c>
      <c r="L17" s="16">
        <f>IFERROR(J17/I17,0)</f>
        <v/>
      </c>
    </row>
    <row r="18" ht="20.5" customHeight="1">
      <c r="C18" s="12">
        <f>'CODE FRS'!B17</f>
        <v/>
      </c>
      <c r="D18" s="5">
        <f>_xlfn.XLOOKUP(C18,'CODE FRS'!B:B,'CODE FRS'!C:C)</f>
        <v/>
      </c>
      <c r="E18" s="2">
        <f>COUNTIF('Bons de Commande'!E:E,Table3[[#This Row],[Code FRS]])</f>
        <v/>
      </c>
      <c r="F18" s="2">
        <f>COUNTIFS(Table1[Statut Livraison],"REJETE",Table1[Fournisseur],Table3[[#This Row],[Fournisseur]])</f>
        <v/>
      </c>
      <c r="G18" s="2">
        <f>COUNTIF('Commandes Dechargees'!D:D,Table3[[#This Row],[Code FRS]])</f>
        <v/>
      </c>
      <c r="H18" s="4">
        <f>SUMIFS('Commandes Dechargees'!H:H,'Commandes Dechargees'!D:D,Table3[[#This Row],[Code FRS]])</f>
        <v/>
      </c>
      <c r="I18" s="4">
        <f>SUMIFS('Commandes Dechargees'!K:K,'Commandes Dechargees'!D:D,Table3[[#This Row],[Code FRS]])</f>
        <v/>
      </c>
      <c r="J18" s="4">
        <f>SUMIFS('Commandes Dechargees'!L:L,'Commandes Dechargees'!D:D,Table3[[#This Row],[Code FRS]])</f>
        <v/>
      </c>
      <c r="K18" s="4">
        <f>I18-J18</f>
        <v/>
      </c>
      <c r="L18" s="16">
        <f>IFERROR(J18/I18,0)</f>
        <v/>
      </c>
    </row>
    <row r="19" ht="20.5" customHeight="1">
      <c r="C19" s="12">
        <f>'CODE FRS'!B18</f>
        <v/>
      </c>
      <c r="D19" s="5">
        <f>_xlfn.XLOOKUP(C19,'CODE FRS'!B:B,'CODE FRS'!C:C)</f>
        <v/>
      </c>
      <c r="E19" s="2">
        <f>COUNTIF('Bons de Commande'!E:E,Table3[[#This Row],[Code FRS]])</f>
        <v/>
      </c>
      <c r="F19" s="2">
        <f>COUNTIFS(Table1[Statut Livraison],"REJETE",Table1[Fournisseur],Table3[[#This Row],[Fournisseur]])</f>
        <v/>
      </c>
      <c r="G19" s="2">
        <f>COUNTIF('Commandes Dechargees'!D:D,Table3[[#This Row],[Code FRS]])</f>
        <v/>
      </c>
      <c r="H19" s="4">
        <f>SUMIFS('Commandes Dechargees'!H:H,'Commandes Dechargees'!D:D,Table3[[#This Row],[Code FRS]])</f>
        <v/>
      </c>
      <c r="I19" s="4">
        <f>SUMIFS('Commandes Dechargees'!K:K,'Commandes Dechargees'!D:D,Table3[[#This Row],[Code FRS]])</f>
        <v/>
      </c>
      <c r="J19" s="4">
        <f>SUMIFS('Commandes Dechargees'!L:L,'Commandes Dechargees'!D:D,Table3[[#This Row],[Code FRS]])</f>
        <v/>
      </c>
      <c r="K19" s="4">
        <f>I19-J19</f>
        <v/>
      </c>
      <c r="L19" s="16">
        <f>IFERROR(J19/I19,0)</f>
        <v/>
      </c>
    </row>
    <row r="20" ht="20.5" customHeight="1">
      <c r="C20" s="12">
        <f>'CODE FRS'!B19</f>
        <v/>
      </c>
      <c r="D20" s="5">
        <f>_xlfn.XLOOKUP(C20,'CODE FRS'!B:B,'CODE FRS'!C:C)</f>
        <v/>
      </c>
      <c r="E20" s="2">
        <f>COUNTIF('Bons de Commande'!E:E,Table3[[#This Row],[Code FRS]])</f>
        <v/>
      </c>
      <c r="F20" s="2">
        <f>COUNTIFS(Table1[Statut Livraison],"REJETE",Table1[Fournisseur],Table3[[#This Row],[Fournisseur]])</f>
        <v/>
      </c>
      <c r="G20" s="2">
        <f>COUNTIF('Commandes Dechargees'!D:D,Table3[[#This Row],[Code FRS]])</f>
        <v/>
      </c>
      <c r="H20" s="4">
        <f>SUMIFS('Commandes Dechargees'!H:H,'Commandes Dechargees'!D:D,Table3[[#This Row],[Code FRS]])</f>
        <v/>
      </c>
      <c r="I20" s="4">
        <f>SUMIFS('Commandes Dechargees'!K:K,'Commandes Dechargees'!D:D,Table3[[#This Row],[Code FRS]])</f>
        <v/>
      </c>
      <c r="J20" s="4">
        <f>SUMIFS('Commandes Dechargees'!L:L,'Commandes Dechargees'!D:D,Table3[[#This Row],[Code FRS]])</f>
        <v/>
      </c>
      <c r="K20" s="4">
        <f>I20-J20</f>
        <v/>
      </c>
      <c r="L20" s="16">
        <f>IFERROR(J20/I20,0)</f>
        <v/>
      </c>
    </row>
    <row r="21" ht="20.5" customHeight="1">
      <c r="C21" s="12">
        <f>'CODE FRS'!B20</f>
        <v/>
      </c>
      <c r="D21" s="5">
        <f>_xlfn.XLOOKUP(C21,'CODE FRS'!B:B,'CODE FRS'!C:C)</f>
        <v/>
      </c>
      <c r="E21" s="2">
        <f>COUNTIF('Bons de Commande'!E:E,Table3[[#This Row],[Code FRS]])</f>
        <v/>
      </c>
      <c r="F21" s="2">
        <f>COUNTIFS(Table1[Statut Livraison],"REJETE",Table1[Fournisseur],Table3[[#This Row],[Fournisseur]])</f>
        <v/>
      </c>
      <c r="G21" s="2">
        <f>COUNTIF('Commandes Dechargees'!D:D,Table3[[#This Row],[Code FRS]])</f>
        <v/>
      </c>
      <c r="H21" s="4">
        <f>SUMIFS('Commandes Dechargees'!H:H,'Commandes Dechargees'!D:D,Table3[[#This Row],[Code FRS]])</f>
        <v/>
      </c>
      <c r="I21" s="4">
        <f>SUMIFS('Commandes Dechargees'!K:K,'Commandes Dechargees'!D:D,Table3[[#This Row],[Code FRS]])</f>
        <v/>
      </c>
      <c r="J21" s="4">
        <f>SUMIFS('Commandes Dechargees'!L:L,'Commandes Dechargees'!D:D,Table3[[#This Row],[Code FRS]])</f>
        <v/>
      </c>
      <c r="K21" s="4">
        <f>I21-J21</f>
        <v/>
      </c>
      <c r="L21" s="16">
        <f>IFERROR(J21/I21,0)</f>
        <v/>
      </c>
    </row>
    <row r="22" ht="20.5" customHeight="1">
      <c r="C22" s="12">
        <f>'CODE FRS'!B21</f>
        <v/>
      </c>
      <c r="D22" s="5">
        <f>_xlfn.XLOOKUP(C22,'CODE FRS'!B:B,'CODE FRS'!C:C)</f>
        <v/>
      </c>
      <c r="E22" s="2">
        <f>COUNTIF('Bons de Commande'!E:E,Table3[[#This Row],[Code FRS]])</f>
        <v/>
      </c>
      <c r="F22" s="2">
        <f>COUNTIFS(Table1[Statut Livraison],"REJETE",Table1[Fournisseur],Table3[[#This Row],[Fournisseur]])</f>
        <v/>
      </c>
      <c r="G22" s="2">
        <f>COUNTIF('Commandes Dechargees'!D:D,Table3[[#This Row],[Code FRS]])</f>
        <v/>
      </c>
      <c r="H22" s="4">
        <f>SUMIFS('Commandes Dechargees'!H:H,'Commandes Dechargees'!D:D,Table3[[#This Row],[Code FRS]])</f>
        <v/>
      </c>
      <c r="I22" s="4">
        <f>SUMIFS('Commandes Dechargees'!K:K,'Commandes Dechargees'!D:D,Table3[[#This Row],[Code FRS]])</f>
        <v/>
      </c>
      <c r="J22" s="4">
        <f>SUMIFS('Commandes Dechargees'!L:L,'Commandes Dechargees'!D:D,Table3[[#This Row],[Code FRS]])</f>
        <v/>
      </c>
      <c r="K22" s="4">
        <f>I22-J22</f>
        <v/>
      </c>
      <c r="L22" s="16">
        <f>IFERROR(J22/I22,0)</f>
        <v/>
      </c>
    </row>
    <row r="23" ht="20.5" customHeight="1">
      <c r="C23" s="12">
        <f>'CODE FRS'!B22</f>
        <v/>
      </c>
      <c r="D23" s="5">
        <f>_xlfn.XLOOKUP(C23,'CODE FRS'!B:B,'CODE FRS'!C:C)</f>
        <v/>
      </c>
      <c r="E23" s="2">
        <f>COUNTIF('Bons de Commande'!E:E,Table3[[#This Row],[Code FRS]])</f>
        <v/>
      </c>
      <c r="F23" s="2">
        <f>COUNTIFS(Table1[Statut Livraison],"REJETE",Table1[Fournisseur],Table3[[#This Row],[Fournisseur]])</f>
        <v/>
      </c>
      <c r="G23" s="2">
        <f>COUNTIF('Commandes Dechargees'!D:D,Table3[[#This Row],[Code FRS]])</f>
        <v/>
      </c>
      <c r="H23" s="4">
        <f>SUMIFS('Commandes Dechargees'!H:H,'Commandes Dechargees'!D:D,Table3[[#This Row],[Code FRS]])</f>
        <v/>
      </c>
      <c r="I23" s="4">
        <f>SUMIFS('Commandes Dechargees'!K:K,'Commandes Dechargees'!D:D,Table3[[#This Row],[Code FRS]])</f>
        <v/>
      </c>
      <c r="J23" s="4">
        <f>SUMIFS('Commandes Dechargees'!L:L,'Commandes Dechargees'!D:D,Table3[[#This Row],[Code FRS]])</f>
        <v/>
      </c>
      <c r="K23" s="4">
        <f>I23-J23</f>
        <v/>
      </c>
      <c r="L23" s="16">
        <f>IFERROR(J23/I23,0)</f>
        <v/>
      </c>
    </row>
    <row r="24" ht="20.5" customHeight="1">
      <c r="C24" s="12">
        <f>'CODE FRS'!B23</f>
        <v/>
      </c>
      <c r="D24" s="5">
        <f>_xlfn.XLOOKUP(C24,'CODE FRS'!B:B,'CODE FRS'!C:C)</f>
        <v/>
      </c>
      <c r="E24" s="2">
        <f>COUNTIF('Bons de Commande'!E:E,Table3[[#This Row],[Code FRS]])</f>
        <v/>
      </c>
      <c r="F24" s="2">
        <f>COUNTIFS(Table1[Statut Livraison],"REJETE",Table1[Fournisseur],Table3[[#This Row],[Fournisseur]])</f>
        <v/>
      </c>
      <c r="G24" s="2">
        <f>COUNTIF('Commandes Dechargees'!D:D,Table3[[#This Row],[Code FRS]])</f>
        <v/>
      </c>
      <c r="H24" s="4">
        <f>SUMIFS('Commandes Dechargees'!H:H,'Commandes Dechargees'!D:D,Table3[[#This Row],[Code FRS]])</f>
        <v/>
      </c>
      <c r="I24" s="4">
        <f>SUMIFS('Commandes Dechargees'!K:K,'Commandes Dechargees'!D:D,Table3[[#This Row],[Code FRS]])</f>
        <v/>
      </c>
      <c r="J24" s="4">
        <f>SUMIFS('Commandes Dechargees'!L:L,'Commandes Dechargees'!D:D,Table3[[#This Row],[Code FRS]])</f>
        <v/>
      </c>
      <c r="K24" s="4">
        <f>I24-J24</f>
        <v/>
      </c>
      <c r="L24" s="16">
        <f>IFERROR(J24/I24,0)</f>
        <v/>
      </c>
    </row>
    <row r="25" ht="20.5" customHeight="1">
      <c r="C25" s="12">
        <f>'CODE FRS'!B24</f>
        <v/>
      </c>
      <c r="D25" s="5">
        <f>_xlfn.XLOOKUP(C25,'CODE FRS'!B:B,'CODE FRS'!C:C)</f>
        <v/>
      </c>
      <c r="E25" s="2">
        <f>COUNTIF('Bons de Commande'!E:E,Table3[[#This Row],[Code FRS]])</f>
        <v/>
      </c>
      <c r="F25" s="2">
        <f>COUNTIFS(Table1[Statut Livraison],"REJETE",Table1[Fournisseur],Table3[[#This Row],[Fournisseur]])</f>
        <v/>
      </c>
      <c r="G25" s="2">
        <f>COUNTIF('Commandes Dechargees'!D:D,Table3[[#This Row],[Code FRS]])</f>
        <v/>
      </c>
      <c r="H25" s="4">
        <f>SUMIFS('Commandes Dechargees'!H:H,'Commandes Dechargees'!D:D,Table3[[#This Row],[Code FRS]])</f>
        <v/>
      </c>
      <c r="I25" s="4">
        <f>SUMIFS('Commandes Dechargees'!K:K,'Commandes Dechargees'!D:D,Table3[[#This Row],[Code FRS]])</f>
        <v/>
      </c>
      <c r="J25" s="4">
        <f>SUMIFS('Commandes Dechargees'!L:L,'Commandes Dechargees'!D:D,Table3[[#This Row],[Code FRS]])</f>
        <v/>
      </c>
      <c r="K25" s="4">
        <f>I25-J25</f>
        <v/>
      </c>
      <c r="L25" s="16">
        <f>IFERROR(J25/I25,0)</f>
        <v/>
      </c>
    </row>
    <row r="26" ht="20.5" customHeight="1">
      <c r="C26" s="12">
        <f>'CODE FRS'!B25</f>
        <v/>
      </c>
      <c r="D26" s="5">
        <f>_xlfn.XLOOKUP(C26,'CODE FRS'!B:B,'CODE FRS'!C:C)</f>
        <v/>
      </c>
      <c r="E26" s="2">
        <f>COUNTIF('Bons de Commande'!E:E,Table3[[#This Row],[Code FRS]])</f>
        <v/>
      </c>
      <c r="F26" s="2">
        <f>COUNTIFS(Table1[Statut Livraison],"REJETE",Table1[Fournisseur],Table3[[#This Row],[Fournisseur]])</f>
        <v/>
      </c>
      <c r="G26" s="2">
        <f>COUNTIF('Commandes Dechargees'!D:D,Table3[[#This Row],[Code FRS]])</f>
        <v/>
      </c>
      <c r="H26" s="4">
        <f>SUMIFS('Commandes Dechargees'!H:H,'Commandes Dechargees'!D:D,Table3[[#This Row],[Code FRS]])</f>
        <v/>
      </c>
      <c r="I26" s="4">
        <f>SUMIFS('Commandes Dechargees'!K:K,'Commandes Dechargees'!D:D,Table3[[#This Row],[Code FRS]])</f>
        <v/>
      </c>
      <c r="J26" s="4">
        <f>SUMIFS('Commandes Dechargees'!L:L,'Commandes Dechargees'!D:D,Table3[[#This Row],[Code FRS]])</f>
        <v/>
      </c>
      <c r="K26" s="4">
        <f>I26-J26</f>
        <v/>
      </c>
      <c r="L26" s="16">
        <f>IFERROR(J26/I26,0)</f>
        <v/>
      </c>
    </row>
    <row r="27" ht="20.5" customHeight="1">
      <c r="C27" s="12">
        <f>'CODE FRS'!B26</f>
        <v/>
      </c>
      <c r="D27" s="5">
        <f>_xlfn.XLOOKUP(C27,'CODE FRS'!B:B,'CODE FRS'!C:C)</f>
        <v/>
      </c>
      <c r="E27" s="2">
        <f>COUNTIF('Bons de Commande'!E:E,Table3[[#This Row],[Code FRS]])</f>
        <v/>
      </c>
      <c r="F27" s="2">
        <f>COUNTIFS(Table1[Statut Livraison],"REJETE",Table1[Fournisseur],Table3[[#This Row],[Fournisseur]])</f>
        <v/>
      </c>
      <c r="G27" s="2">
        <f>COUNTIF('Commandes Dechargees'!D:D,Table3[[#This Row],[Code FRS]])</f>
        <v/>
      </c>
      <c r="H27" s="4">
        <f>SUMIFS('Commandes Dechargees'!H:H,'Commandes Dechargees'!D:D,Table3[[#This Row],[Code FRS]])</f>
        <v/>
      </c>
      <c r="I27" s="4">
        <f>SUMIFS('Commandes Dechargees'!K:K,'Commandes Dechargees'!D:D,Table3[[#This Row],[Code FRS]])</f>
        <v/>
      </c>
      <c r="J27" s="4">
        <f>SUMIFS('Commandes Dechargees'!L:L,'Commandes Dechargees'!D:D,Table3[[#This Row],[Code FRS]])</f>
        <v/>
      </c>
      <c r="K27" s="4">
        <f>I27-J27</f>
        <v/>
      </c>
      <c r="L27" s="16">
        <f>IFERROR(J27/I27,0)</f>
        <v/>
      </c>
    </row>
    <row r="28" ht="20.5" customHeight="1">
      <c r="C28" s="12">
        <f>'CODE FRS'!B27</f>
        <v/>
      </c>
      <c r="D28" s="5">
        <f>_xlfn.XLOOKUP(C28,'CODE FRS'!B:B,'CODE FRS'!C:C)</f>
        <v/>
      </c>
      <c r="E28" s="2">
        <f>COUNTIF('Bons de Commande'!E:E,Table3[[#This Row],[Code FRS]])</f>
        <v/>
      </c>
      <c r="F28" s="2">
        <f>COUNTIFS(Table1[Statut Livraison],"REJETE",Table1[Fournisseur],Table3[[#This Row],[Fournisseur]])</f>
        <v/>
      </c>
      <c r="G28" s="2">
        <f>COUNTIF('Commandes Dechargees'!D:D,Table3[[#This Row],[Code FRS]])</f>
        <v/>
      </c>
      <c r="H28" s="4">
        <f>SUMIFS('Commandes Dechargees'!H:H,'Commandes Dechargees'!D:D,Table3[[#This Row],[Code FRS]])</f>
        <v/>
      </c>
      <c r="I28" s="4">
        <f>SUMIFS('Commandes Dechargees'!K:K,'Commandes Dechargees'!D:D,Table3[[#This Row],[Code FRS]])</f>
        <v/>
      </c>
      <c r="J28" s="4">
        <f>SUMIFS('Commandes Dechargees'!L:L,'Commandes Dechargees'!D:D,Table3[[#This Row],[Code FRS]])</f>
        <v/>
      </c>
      <c r="K28" s="4">
        <f>I28-J28</f>
        <v/>
      </c>
      <c r="L28" s="16">
        <f>IFERROR(J28/I28,0)</f>
        <v/>
      </c>
    </row>
    <row r="29" ht="20.5" customHeight="1">
      <c r="C29" s="12">
        <f>'CODE FRS'!B28</f>
        <v/>
      </c>
      <c r="D29" s="5">
        <f>_xlfn.XLOOKUP(C29,'CODE FRS'!B:B,'CODE FRS'!C:C)</f>
        <v/>
      </c>
      <c r="E29" s="2">
        <f>COUNTIF('Bons de Commande'!E:E,Table3[[#This Row],[Code FRS]])</f>
        <v/>
      </c>
      <c r="F29" s="2">
        <f>COUNTIFS(Table1[Statut Livraison],"REJETE",Table1[Fournisseur],Table3[[#This Row],[Fournisseur]])</f>
        <v/>
      </c>
      <c r="G29" s="2">
        <f>COUNTIF('Commandes Dechargees'!D:D,Table3[[#This Row],[Code FRS]])</f>
        <v/>
      </c>
      <c r="H29" s="4">
        <f>SUMIFS('Commandes Dechargees'!H:H,'Commandes Dechargees'!D:D,Table3[[#This Row],[Code FRS]])</f>
        <v/>
      </c>
      <c r="I29" s="4">
        <f>SUMIFS('Commandes Dechargees'!K:K,'Commandes Dechargees'!D:D,Table3[[#This Row],[Code FRS]])</f>
        <v/>
      </c>
      <c r="J29" s="4">
        <f>SUMIFS('Commandes Dechargees'!L:L,'Commandes Dechargees'!D:D,Table3[[#This Row],[Code FRS]])</f>
        <v/>
      </c>
      <c r="K29" s="4">
        <f>I29-J29</f>
        <v/>
      </c>
      <c r="L29" s="16">
        <f>IFERROR(J29/I29,0)</f>
        <v/>
      </c>
    </row>
    <row r="30" ht="20.5" customHeight="1">
      <c r="C30" s="12">
        <f>'CODE FRS'!B29</f>
        <v/>
      </c>
      <c r="D30" s="5">
        <f>_xlfn.XLOOKUP(C30,'CODE FRS'!B:B,'CODE FRS'!C:C)</f>
        <v/>
      </c>
      <c r="E30" s="2">
        <f>COUNTIF('Bons de Commande'!E:E,Table3[[#This Row],[Code FRS]])</f>
        <v/>
      </c>
      <c r="F30" s="2">
        <f>COUNTIFS(Table1[Statut Livraison],"REJETE",Table1[Fournisseur],Table3[[#This Row],[Fournisseur]])</f>
        <v/>
      </c>
      <c r="G30" s="2">
        <f>COUNTIF('Commandes Dechargees'!D:D,Table3[[#This Row],[Code FRS]])</f>
        <v/>
      </c>
      <c r="H30" s="4">
        <f>SUMIFS('Commandes Dechargees'!H:H,'Commandes Dechargees'!D:D,Table3[[#This Row],[Code FRS]])</f>
        <v/>
      </c>
      <c r="I30" s="4">
        <f>SUMIFS('Commandes Dechargees'!K:K,'Commandes Dechargees'!D:D,Table3[[#This Row],[Code FRS]])</f>
        <v/>
      </c>
      <c r="J30" s="4">
        <f>SUMIFS('Commandes Dechargees'!L:L,'Commandes Dechargees'!D:D,Table3[[#This Row],[Code FRS]])</f>
        <v/>
      </c>
      <c r="K30" s="4">
        <f>I30-J30</f>
        <v/>
      </c>
      <c r="L30" s="16">
        <f>IFERROR(J30/I30,0)</f>
        <v/>
      </c>
    </row>
    <row r="31" ht="20.5" customHeight="1">
      <c r="C31" s="12">
        <f>'CODE FRS'!B30</f>
        <v/>
      </c>
      <c r="D31" s="5">
        <f>_xlfn.XLOOKUP(C31,'CODE FRS'!B:B,'CODE FRS'!C:C)</f>
        <v/>
      </c>
      <c r="E31" s="2">
        <f>COUNTIF('Bons de Commande'!E:E,Table3[[#This Row],[Code FRS]])</f>
        <v/>
      </c>
      <c r="F31" s="2">
        <f>COUNTIFS(Table1[Statut Livraison],"REJETE",Table1[Fournisseur],Table3[[#This Row],[Fournisseur]])</f>
        <v/>
      </c>
      <c r="G31" s="2">
        <f>COUNTIF('Commandes Dechargees'!D:D,Table3[[#This Row],[Code FRS]])</f>
        <v/>
      </c>
      <c r="H31" s="4">
        <f>SUMIFS('Commandes Dechargees'!H:H,'Commandes Dechargees'!D:D,Table3[[#This Row],[Code FRS]])</f>
        <v/>
      </c>
      <c r="I31" s="4">
        <f>SUMIFS('Commandes Dechargees'!K:K,'Commandes Dechargees'!D:D,Table3[[#This Row],[Code FRS]])</f>
        <v/>
      </c>
      <c r="J31" s="4">
        <f>SUMIFS('Commandes Dechargees'!L:L,'Commandes Dechargees'!D:D,Table3[[#This Row],[Code FRS]])</f>
        <v/>
      </c>
      <c r="K31" s="4">
        <f>I31-J31</f>
        <v/>
      </c>
      <c r="L31" s="16">
        <f>IFERROR(J31/I31,0)</f>
        <v/>
      </c>
    </row>
    <row r="32" ht="20.5" customHeight="1">
      <c r="C32" s="12">
        <f>'CODE FRS'!B31</f>
        <v/>
      </c>
      <c r="D32" s="5">
        <f>_xlfn.XLOOKUP(C32,'CODE FRS'!B:B,'CODE FRS'!C:C)</f>
        <v/>
      </c>
      <c r="E32" s="2">
        <f>COUNTIF('Bons de Commande'!E:E,Table3[[#This Row],[Code FRS]])</f>
        <v/>
      </c>
      <c r="F32" s="2">
        <f>COUNTIFS(Table1[Statut Livraison],"REJETE",Table1[Fournisseur],Table3[[#This Row],[Fournisseur]])</f>
        <v/>
      </c>
      <c r="G32" s="2">
        <f>COUNTIF('Commandes Dechargees'!D:D,Table3[[#This Row],[Code FRS]])</f>
        <v/>
      </c>
      <c r="H32" s="4">
        <f>SUMIFS('Commandes Dechargees'!H:H,'Commandes Dechargees'!D:D,Table3[[#This Row],[Code FRS]])</f>
        <v/>
      </c>
      <c r="I32" s="4">
        <f>SUMIFS('Commandes Dechargees'!K:K,'Commandes Dechargees'!D:D,Table3[[#This Row],[Code FRS]])</f>
        <v/>
      </c>
      <c r="J32" s="4">
        <f>SUMIFS('Commandes Dechargees'!L:L,'Commandes Dechargees'!D:D,Table3[[#This Row],[Code FRS]])</f>
        <v/>
      </c>
      <c r="K32" s="4">
        <f>I32-J32</f>
        <v/>
      </c>
      <c r="L32" s="16">
        <f>IFERROR(J32/I32,0)</f>
        <v/>
      </c>
    </row>
    <row r="33" ht="20.5" customHeight="1">
      <c r="C33" s="12">
        <f>'CODE FRS'!B32</f>
        <v/>
      </c>
      <c r="D33" s="5">
        <f>_xlfn.XLOOKUP(C33,'CODE FRS'!B:B,'CODE FRS'!C:C)</f>
        <v/>
      </c>
      <c r="E33" s="2">
        <f>COUNTIF('Bons de Commande'!E:E,Table3[[#This Row],[Code FRS]])</f>
        <v/>
      </c>
      <c r="F33" s="2">
        <f>COUNTIFS(Table1[Statut Livraison],"REJETE",Table1[Fournisseur],Table3[[#This Row],[Fournisseur]])</f>
        <v/>
      </c>
      <c r="G33" s="2">
        <f>COUNTIF('Commandes Dechargees'!D:D,Table3[[#This Row],[Code FRS]])</f>
        <v/>
      </c>
      <c r="H33" s="4">
        <f>SUMIFS('Commandes Dechargees'!H:H,'Commandes Dechargees'!D:D,Table3[[#This Row],[Code FRS]])</f>
        <v/>
      </c>
      <c r="I33" s="4">
        <f>SUMIFS('Commandes Dechargees'!K:K,'Commandes Dechargees'!D:D,Table3[[#This Row],[Code FRS]])</f>
        <v/>
      </c>
      <c r="J33" s="4">
        <f>SUMIFS('Commandes Dechargees'!L:L,'Commandes Dechargees'!D:D,Table3[[#This Row],[Code FRS]])</f>
        <v/>
      </c>
      <c r="K33" s="4">
        <f>I33-J33</f>
        <v/>
      </c>
      <c r="L33" s="16">
        <f>IFERROR(J33/I33,0)</f>
        <v/>
      </c>
    </row>
    <row r="34" ht="20.5" customHeight="1">
      <c r="C34" s="12">
        <f>'CODE FRS'!B33</f>
        <v/>
      </c>
      <c r="D34" s="5">
        <f>_xlfn.XLOOKUP(C34,'CODE FRS'!B:B,'CODE FRS'!C:C)</f>
        <v/>
      </c>
      <c r="E34" s="2">
        <f>COUNTIF('Bons de Commande'!E:E,Table3[[#This Row],[Code FRS]])</f>
        <v/>
      </c>
      <c r="F34" s="2">
        <f>COUNTIFS(Table1[Statut Livraison],"REJETE",Table1[Fournisseur],Table3[[#This Row],[Fournisseur]])</f>
        <v/>
      </c>
      <c r="G34" s="2">
        <f>COUNTIF('Commandes Dechargees'!D:D,Table3[[#This Row],[Code FRS]])</f>
        <v/>
      </c>
      <c r="H34" s="4">
        <f>SUMIFS('Commandes Dechargees'!H:H,'Commandes Dechargees'!D:D,Table3[[#This Row],[Code FRS]])</f>
        <v/>
      </c>
      <c r="I34" s="4">
        <f>SUMIFS('Commandes Dechargees'!K:K,'Commandes Dechargees'!D:D,Table3[[#This Row],[Code FRS]])</f>
        <v/>
      </c>
      <c r="J34" s="4">
        <f>SUMIFS('Commandes Dechargees'!L:L,'Commandes Dechargees'!D:D,Table3[[#This Row],[Code FRS]])</f>
        <v/>
      </c>
      <c r="K34" s="4">
        <f>I34-J34</f>
        <v/>
      </c>
      <c r="L34" s="16">
        <f>IFERROR(J34/I34,0)</f>
        <v/>
      </c>
    </row>
    <row r="35" ht="20.5" customHeight="1">
      <c r="C35" s="12">
        <f>'CODE FRS'!B34</f>
        <v/>
      </c>
      <c r="D35" s="5">
        <f>_xlfn.XLOOKUP(C35,'CODE FRS'!B:B,'CODE FRS'!C:C)</f>
        <v/>
      </c>
      <c r="E35" s="2">
        <f>COUNTIF('Bons de Commande'!E:E,Table3[[#This Row],[Code FRS]])</f>
        <v/>
      </c>
      <c r="F35" s="2">
        <f>COUNTIFS(Table1[Statut Livraison],"REJETE",Table1[Fournisseur],Table3[[#This Row],[Fournisseur]])</f>
        <v/>
      </c>
      <c r="G35" s="2">
        <f>COUNTIF('Commandes Dechargees'!D:D,Table3[[#This Row],[Code FRS]])</f>
        <v/>
      </c>
      <c r="H35" s="4">
        <f>SUMIFS('Commandes Dechargees'!H:H,'Commandes Dechargees'!D:D,Table3[[#This Row],[Code FRS]])</f>
        <v/>
      </c>
      <c r="I35" s="4">
        <f>SUMIFS('Commandes Dechargees'!K:K,'Commandes Dechargees'!D:D,Table3[[#This Row],[Code FRS]])</f>
        <v/>
      </c>
      <c r="J35" s="4">
        <f>SUMIFS('Commandes Dechargees'!L:L,'Commandes Dechargees'!D:D,Table3[[#This Row],[Code FRS]])</f>
        <v/>
      </c>
      <c r="K35" s="4">
        <f>I35-J35</f>
        <v/>
      </c>
      <c r="L35" s="16">
        <f>IFERROR(J35/I35,0)</f>
        <v/>
      </c>
    </row>
    <row r="36" ht="20.5" customHeight="1">
      <c r="C36" s="12">
        <f>'CODE FRS'!B35</f>
        <v/>
      </c>
      <c r="D36" s="5">
        <f>_xlfn.XLOOKUP(C36,'CODE FRS'!B:B,'CODE FRS'!C:C)</f>
        <v/>
      </c>
      <c r="E36" s="2">
        <f>COUNTIF('Bons de Commande'!E:E,Table3[[#This Row],[Code FRS]])</f>
        <v/>
      </c>
      <c r="F36" s="2">
        <f>COUNTIFS(Table1[Statut Livraison],"REJETE",Table1[Fournisseur],Table3[[#This Row],[Fournisseur]])</f>
        <v/>
      </c>
      <c r="G36" s="2">
        <f>COUNTIF('Commandes Dechargees'!D:D,Table3[[#This Row],[Code FRS]])</f>
        <v/>
      </c>
      <c r="H36" s="4">
        <f>SUMIFS('Commandes Dechargees'!H:H,'Commandes Dechargees'!D:D,Table3[[#This Row],[Code FRS]])</f>
        <v/>
      </c>
      <c r="I36" s="4">
        <f>SUMIFS('Commandes Dechargees'!K:K,'Commandes Dechargees'!D:D,Table3[[#This Row],[Code FRS]])</f>
        <v/>
      </c>
      <c r="J36" s="4">
        <f>SUMIFS('Commandes Dechargees'!L:L,'Commandes Dechargees'!D:D,Table3[[#This Row],[Code FRS]])</f>
        <v/>
      </c>
      <c r="K36" s="4">
        <f>I36-J36</f>
        <v/>
      </c>
      <c r="L36" s="16">
        <f>IFERROR(J36/I36,0)</f>
        <v/>
      </c>
    </row>
    <row r="37" ht="20.5" customHeight="1">
      <c r="C37" s="12">
        <f>'CODE FRS'!B36</f>
        <v/>
      </c>
      <c r="D37" s="5">
        <f>_xlfn.XLOOKUP(C37,'CODE FRS'!B:B,'CODE FRS'!C:C)</f>
        <v/>
      </c>
      <c r="E37" s="2">
        <f>COUNTIF('Bons de Commande'!E:E,Table3[[#This Row],[Code FRS]])</f>
        <v/>
      </c>
      <c r="F37" s="2">
        <f>COUNTIFS(Table1[Statut Livraison],"REJETE",Table1[Fournisseur],Table3[[#This Row],[Fournisseur]])</f>
        <v/>
      </c>
      <c r="G37" s="2">
        <f>COUNTIF('Commandes Dechargees'!D:D,Table3[[#This Row],[Code FRS]])</f>
        <v/>
      </c>
      <c r="H37" s="4">
        <f>SUMIFS('Commandes Dechargees'!H:H,'Commandes Dechargees'!D:D,Table3[[#This Row],[Code FRS]])</f>
        <v/>
      </c>
      <c r="I37" s="4">
        <f>SUMIFS('Commandes Dechargees'!K:K,'Commandes Dechargees'!D:D,Table3[[#This Row],[Code FRS]])</f>
        <v/>
      </c>
      <c r="J37" s="4">
        <f>SUMIFS('Commandes Dechargees'!L:L,'Commandes Dechargees'!D:D,Table3[[#This Row],[Code FRS]])</f>
        <v/>
      </c>
      <c r="K37" s="4">
        <f>I37-J37</f>
        <v/>
      </c>
      <c r="L37" s="16">
        <f>IFERROR(J37/I37,0)</f>
        <v/>
      </c>
    </row>
    <row r="38" ht="20.5" customHeight="1">
      <c r="C38" s="12">
        <f>'CODE FRS'!B37</f>
        <v/>
      </c>
      <c r="D38" s="5">
        <f>_xlfn.XLOOKUP(C38,'CODE FRS'!B:B,'CODE FRS'!C:C)</f>
        <v/>
      </c>
      <c r="E38" s="2">
        <f>COUNTIF('Bons de Commande'!E:E,Table3[[#This Row],[Code FRS]])</f>
        <v/>
      </c>
      <c r="F38" s="2">
        <f>COUNTIFS(Table1[Statut Livraison],"REJETE",Table1[Fournisseur],Table3[[#This Row],[Fournisseur]])</f>
        <v/>
      </c>
      <c r="G38" s="2">
        <f>COUNTIF('Commandes Dechargees'!D:D,Table3[[#This Row],[Code FRS]])</f>
        <v/>
      </c>
      <c r="H38" s="4">
        <f>SUMIFS('Commandes Dechargees'!H:H,'Commandes Dechargees'!D:D,Table3[[#This Row],[Code FRS]])</f>
        <v/>
      </c>
      <c r="I38" s="4">
        <f>SUMIFS('Commandes Dechargees'!K:K,'Commandes Dechargees'!D:D,Table3[[#This Row],[Code FRS]])</f>
        <v/>
      </c>
      <c r="J38" s="4">
        <f>SUMIFS('Commandes Dechargees'!L:L,'Commandes Dechargees'!D:D,Table3[[#This Row],[Code FRS]])</f>
        <v/>
      </c>
      <c r="K38" s="4">
        <f>I38-J38</f>
        <v/>
      </c>
      <c r="L38" s="16">
        <f>IFERROR(J38/I38,0)</f>
        <v/>
      </c>
    </row>
    <row r="39" ht="20.5" customHeight="1">
      <c r="C39" s="12">
        <f>'CODE FRS'!B38</f>
        <v/>
      </c>
      <c r="D39" s="5">
        <f>_xlfn.XLOOKUP(C39,'CODE FRS'!B:B,'CODE FRS'!C:C)</f>
        <v/>
      </c>
      <c r="E39" s="2">
        <f>COUNTIF('Bons de Commande'!E:E,Table3[[#This Row],[Code FRS]])</f>
        <v/>
      </c>
      <c r="F39" s="2">
        <f>COUNTIFS(Table1[Statut Livraison],"REJETE",Table1[Fournisseur],Table3[[#This Row],[Fournisseur]])</f>
        <v/>
      </c>
      <c r="G39" s="2">
        <f>COUNTIF('Commandes Dechargees'!D:D,Table3[[#This Row],[Code FRS]])</f>
        <v/>
      </c>
      <c r="H39" s="4">
        <f>SUMIFS('Commandes Dechargees'!H:H,'Commandes Dechargees'!D:D,Table3[[#This Row],[Code FRS]])</f>
        <v/>
      </c>
      <c r="I39" s="4">
        <f>SUMIFS('Commandes Dechargees'!K:K,'Commandes Dechargees'!D:D,Table3[[#This Row],[Code FRS]])</f>
        <v/>
      </c>
      <c r="J39" s="4">
        <f>SUMIFS('Commandes Dechargees'!L:L,'Commandes Dechargees'!D:D,Table3[[#This Row],[Code FRS]])</f>
        <v/>
      </c>
      <c r="K39" s="4">
        <f>I39-J39</f>
        <v/>
      </c>
      <c r="L39" s="16">
        <f>IFERROR(J39/I39,0)</f>
        <v/>
      </c>
    </row>
    <row r="40" ht="20.5" customHeight="1">
      <c r="C40" s="12">
        <f>'CODE FRS'!B39</f>
        <v/>
      </c>
      <c r="D40" s="5">
        <f>_xlfn.XLOOKUP(C40,'CODE FRS'!B:B,'CODE FRS'!C:C)</f>
        <v/>
      </c>
      <c r="E40" s="2">
        <f>COUNTIF('Bons de Commande'!E:E,Table3[[#This Row],[Code FRS]])</f>
        <v/>
      </c>
      <c r="F40" s="2">
        <f>COUNTIFS(Table1[Statut Livraison],"REJETE",Table1[Fournisseur],Table3[[#This Row],[Fournisseur]])</f>
        <v/>
      </c>
      <c r="G40" s="2">
        <f>COUNTIF('Commandes Dechargees'!D:D,Table3[[#This Row],[Code FRS]])</f>
        <v/>
      </c>
      <c r="H40" s="4">
        <f>SUMIFS('Commandes Dechargees'!H:H,'Commandes Dechargees'!D:D,Table3[[#This Row],[Code FRS]])</f>
        <v/>
      </c>
      <c r="I40" s="4">
        <f>SUMIFS('Commandes Dechargees'!K:K,'Commandes Dechargees'!D:D,Table3[[#This Row],[Code FRS]])</f>
        <v/>
      </c>
      <c r="J40" s="4">
        <f>SUMIFS('Commandes Dechargees'!L:L,'Commandes Dechargees'!D:D,Table3[[#This Row],[Code FRS]])</f>
        <v/>
      </c>
      <c r="K40" s="4">
        <f>I40-J40</f>
        <v/>
      </c>
      <c r="L40" s="16">
        <f>IFERROR(J40/I40,0)</f>
        <v/>
      </c>
    </row>
    <row r="41" ht="20.5" customHeight="1">
      <c r="C41" s="12">
        <f>'CODE FRS'!B40</f>
        <v/>
      </c>
      <c r="D41" s="5">
        <f>_xlfn.XLOOKUP(C41,'CODE FRS'!B:B,'CODE FRS'!C:C)</f>
        <v/>
      </c>
      <c r="E41" s="2">
        <f>COUNTIF('Bons de Commande'!E:E,Table3[[#This Row],[Code FRS]])</f>
        <v/>
      </c>
      <c r="F41" s="2">
        <f>COUNTIFS(Table1[Statut Livraison],"REJETE",Table1[Fournisseur],Table3[[#This Row],[Fournisseur]])</f>
        <v/>
      </c>
      <c r="G41" s="2">
        <f>COUNTIF('Commandes Dechargees'!D:D,Table3[[#This Row],[Code FRS]])</f>
        <v/>
      </c>
      <c r="H41" s="4">
        <f>SUMIFS('Commandes Dechargees'!H:H,'Commandes Dechargees'!D:D,Table3[[#This Row],[Code FRS]])</f>
        <v/>
      </c>
      <c r="I41" s="4">
        <f>SUMIFS('Commandes Dechargees'!K:K,'Commandes Dechargees'!D:D,Table3[[#This Row],[Code FRS]])</f>
        <v/>
      </c>
      <c r="J41" s="4">
        <f>SUMIFS('Commandes Dechargees'!L:L,'Commandes Dechargees'!D:D,Table3[[#This Row],[Code FRS]])</f>
        <v/>
      </c>
      <c r="K41" s="4">
        <f>I41-J41</f>
        <v/>
      </c>
      <c r="L41" s="16">
        <f>IFERROR(J41/I41,0)</f>
        <v/>
      </c>
    </row>
    <row r="42" ht="20.5" customHeight="1">
      <c r="C42" s="12">
        <f>'CODE FRS'!B41</f>
        <v/>
      </c>
      <c r="D42" s="5">
        <f>_xlfn.XLOOKUP(C42,'CODE FRS'!B:B,'CODE FRS'!C:C)</f>
        <v/>
      </c>
      <c r="E42" s="2">
        <f>COUNTIF('Bons de Commande'!E:E,Table3[[#This Row],[Code FRS]])</f>
        <v/>
      </c>
      <c r="F42" s="2">
        <f>COUNTIFS(Table1[Statut Livraison],"REJETE",Table1[Fournisseur],Table3[[#This Row],[Fournisseur]])</f>
        <v/>
      </c>
      <c r="G42" s="2">
        <f>COUNTIF('Commandes Dechargees'!D:D,Table3[[#This Row],[Code FRS]])</f>
        <v/>
      </c>
      <c r="H42" s="4">
        <f>SUMIFS('Commandes Dechargees'!H:H,'Commandes Dechargees'!D:D,Table3[[#This Row],[Code FRS]])</f>
        <v/>
      </c>
      <c r="I42" s="4">
        <f>SUMIFS('Commandes Dechargees'!K:K,'Commandes Dechargees'!D:D,Table3[[#This Row],[Code FRS]])</f>
        <v/>
      </c>
      <c r="J42" s="4">
        <f>SUMIFS('Commandes Dechargees'!L:L,'Commandes Dechargees'!D:D,Table3[[#This Row],[Code FRS]])</f>
        <v/>
      </c>
      <c r="K42" s="4">
        <f>I42-J42</f>
        <v/>
      </c>
      <c r="L42" s="16">
        <f>IFERROR(J42/I42,0)</f>
        <v/>
      </c>
    </row>
    <row r="43" ht="20.5" customHeight="1">
      <c r="C43" s="12">
        <f>'CODE FRS'!B42</f>
        <v/>
      </c>
      <c r="D43" s="5">
        <f>_xlfn.XLOOKUP(C43,'CODE FRS'!B:B,'CODE FRS'!C:C)</f>
        <v/>
      </c>
      <c r="E43" s="2">
        <f>COUNTIF('Bons de Commande'!E:E,Table3[[#This Row],[Code FRS]])</f>
        <v/>
      </c>
      <c r="F43" s="2">
        <f>COUNTIFS(Table1[Statut Livraison],"REJETE",Table1[Fournisseur],Table3[[#This Row],[Fournisseur]])</f>
        <v/>
      </c>
      <c r="G43" s="2">
        <f>COUNTIF('Commandes Dechargees'!D:D,Table3[[#This Row],[Code FRS]])</f>
        <v/>
      </c>
      <c r="H43" s="4">
        <f>SUMIFS('Commandes Dechargees'!H:H,'Commandes Dechargees'!D:D,Table3[[#This Row],[Code FRS]])</f>
        <v/>
      </c>
      <c r="I43" s="4">
        <f>SUMIFS('Commandes Dechargees'!K:K,'Commandes Dechargees'!D:D,Table3[[#This Row],[Code FRS]])</f>
        <v/>
      </c>
      <c r="J43" s="4">
        <f>SUMIFS('Commandes Dechargees'!L:L,'Commandes Dechargees'!D:D,Table3[[#This Row],[Code FRS]])</f>
        <v/>
      </c>
      <c r="K43" s="4">
        <f>I43-J43</f>
        <v/>
      </c>
      <c r="L43" s="16">
        <f>IFERROR(J43/I43,0)</f>
        <v/>
      </c>
    </row>
    <row r="44" ht="20.5" customHeight="1">
      <c r="C44" s="12">
        <f>'CODE FRS'!B43</f>
        <v/>
      </c>
      <c r="D44" s="5">
        <f>_xlfn.XLOOKUP(C44,'CODE FRS'!B:B,'CODE FRS'!C:C)</f>
        <v/>
      </c>
      <c r="E44" s="2">
        <f>COUNTIF('Bons de Commande'!E:E,Table3[[#This Row],[Code FRS]])</f>
        <v/>
      </c>
      <c r="F44" s="2">
        <f>COUNTIFS(Table1[Statut Livraison],"REJETE",Table1[Fournisseur],Table3[[#This Row],[Fournisseur]])</f>
        <v/>
      </c>
      <c r="G44" s="2">
        <f>COUNTIF('Commandes Dechargees'!D:D,Table3[[#This Row],[Code FRS]])</f>
        <v/>
      </c>
      <c r="H44" s="4">
        <f>SUMIFS('Commandes Dechargees'!H:H,'Commandes Dechargees'!D:D,Table3[[#This Row],[Code FRS]])</f>
        <v/>
      </c>
      <c r="I44" s="4">
        <f>SUMIFS('Commandes Dechargees'!K:K,'Commandes Dechargees'!D:D,Table3[[#This Row],[Code FRS]])</f>
        <v/>
      </c>
      <c r="J44" s="4">
        <f>SUMIFS('Commandes Dechargees'!L:L,'Commandes Dechargees'!D:D,Table3[[#This Row],[Code FRS]])</f>
        <v/>
      </c>
      <c r="K44" s="4">
        <f>I44-J44</f>
        <v/>
      </c>
      <c r="L44" s="16">
        <f>IFERROR(J44/I44,0)</f>
        <v/>
      </c>
    </row>
    <row r="45" ht="20.5" customHeight="1">
      <c r="C45" s="12">
        <f>'CODE FRS'!B44</f>
        <v/>
      </c>
      <c r="D45" s="5">
        <f>_xlfn.XLOOKUP(C45,'CODE FRS'!B:B,'CODE FRS'!C:C)</f>
        <v/>
      </c>
      <c r="E45" s="2">
        <f>COUNTIF('Bons de Commande'!E:E,Table3[[#This Row],[Code FRS]])</f>
        <v/>
      </c>
      <c r="F45" s="2">
        <f>COUNTIFS(Table1[Statut Livraison],"REJETE",Table1[Fournisseur],Table3[[#This Row],[Fournisseur]])</f>
        <v/>
      </c>
      <c r="G45" s="2">
        <f>COUNTIF('Commandes Dechargees'!D:D,Table3[[#This Row],[Code FRS]])</f>
        <v/>
      </c>
      <c r="H45" s="4">
        <f>SUMIFS('Commandes Dechargees'!H:H,'Commandes Dechargees'!D:D,Table3[[#This Row],[Code FRS]])</f>
        <v/>
      </c>
      <c r="I45" s="4">
        <f>SUMIFS('Commandes Dechargees'!K:K,'Commandes Dechargees'!D:D,Table3[[#This Row],[Code FRS]])</f>
        <v/>
      </c>
      <c r="J45" s="4">
        <f>SUMIFS('Commandes Dechargees'!L:L,'Commandes Dechargees'!D:D,Table3[[#This Row],[Code FRS]])</f>
        <v/>
      </c>
      <c r="K45" s="4">
        <f>I45-J45</f>
        <v/>
      </c>
      <c r="L45" s="16">
        <f>IFERROR(J45/I45,0)</f>
        <v/>
      </c>
    </row>
    <row r="46" ht="20.5" customHeight="1">
      <c r="C46" s="12">
        <f>'CODE FRS'!B45</f>
        <v/>
      </c>
      <c r="D46" s="5">
        <f>_xlfn.XLOOKUP(C46,'CODE FRS'!B:B,'CODE FRS'!C:C)</f>
        <v/>
      </c>
      <c r="E46" s="2">
        <f>COUNTIF('Bons de Commande'!E:E,Table3[[#This Row],[Code FRS]])</f>
        <v/>
      </c>
      <c r="F46" s="2">
        <f>COUNTIFS(Table1[Statut Livraison],"REJETE",Table1[Fournisseur],Table3[[#This Row],[Fournisseur]])</f>
        <v/>
      </c>
      <c r="G46" s="2">
        <f>COUNTIF('Commandes Dechargees'!D:D,Table3[[#This Row],[Code FRS]])</f>
        <v/>
      </c>
      <c r="H46" s="4">
        <f>SUMIFS('Commandes Dechargees'!H:H,'Commandes Dechargees'!D:D,Table3[[#This Row],[Code FRS]])</f>
        <v/>
      </c>
      <c r="I46" s="4">
        <f>SUMIFS('Commandes Dechargees'!K:K,'Commandes Dechargees'!D:D,Table3[[#This Row],[Code FRS]])</f>
        <v/>
      </c>
      <c r="J46" s="4">
        <f>SUMIFS('Commandes Dechargees'!L:L,'Commandes Dechargees'!D:D,Table3[[#This Row],[Code FRS]])</f>
        <v/>
      </c>
      <c r="K46" s="4">
        <f>I46-J46</f>
        <v/>
      </c>
      <c r="L46" s="16">
        <f>IFERROR(J46/I46,0)</f>
        <v/>
      </c>
    </row>
    <row r="47" ht="20.5" customHeight="1">
      <c r="C47" s="12">
        <f>'CODE FRS'!B46</f>
        <v/>
      </c>
      <c r="D47" s="5">
        <f>_xlfn.XLOOKUP(C47,'CODE FRS'!B:B,'CODE FRS'!C:C)</f>
        <v/>
      </c>
      <c r="E47" s="2">
        <f>COUNTIF('Bons de Commande'!E:E,Table3[[#This Row],[Code FRS]])</f>
        <v/>
      </c>
      <c r="F47" s="2">
        <f>COUNTIFS(Table1[Statut Livraison],"REJETE",Table1[Fournisseur],Table3[[#This Row],[Fournisseur]])</f>
        <v/>
      </c>
      <c r="G47" s="2">
        <f>COUNTIF('Commandes Dechargees'!D:D,Table3[[#This Row],[Code FRS]])</f>
        <v/>
      </c>
      <c r="H47" s="4">
        <f>SUMIFS('Commandes Dechargees'!H:H,'Commandes Dechargees'!D:D,Table3[[#This Row],[Code FRS]])</f>
        <v/>
      </c>
      <c r="I47" s="4">
        <f>SUMIFS('Commandes Dechargees'!K:K,'Commandes Dechargees'!D:D,Table3[[#This Row],[Code FRS]])</f>
        <v/>
      </c>
      <c r="J47" s="4">
        <f>SUMIFS('Commandes Dechargees'!L:L,'Commandes Dechargees'!D:D,Table3[[#This Row],[Code FRS]])</f>
        <v/>
      </c>
      <c r="K47" s="4">
        <f>I47-J47</f>
        <v/>
      </c>
      <c r="L47" s="16">
        <f>IFERROR(J47/I47,0)</f>
        <v/>
      </c>
    </row>
    <row r="48" ht="20.5" customHeight="1">
      <c r="C48" s="12">
        <f>'CODE FRS'!B47</f>
        <v/>
      </c>
      <c r="D48" s="5">
        <f>_xlfn.XLOOKUP(C48,'CODE FRS'!B:B,'CODE FRS'!C:C)</f>
        <v/>
      </c>
      <c r="E48" s="2">
        <f>COUNTIF('Bons de Commande'!E:E,Table3[[#This Row],[Code FRS]])</f>
        <v/>
      </c>
      <c r="F48" s="2">
        <f>COUNTIFS(Table1[Statut Livraison],"REJETE",Table1[Fournisseur],Table3[[#This Row],[Fournisseur]])</f>
        <v/>
      </c>
      <c r="G48" s="2">
        <f>COUNTIF('Commandes Dechargees'!D:D,Table3[[#This Row],[Code FRS]])</f>
        <v/>
      </c>
      <c r="H48" s="4">
        <f>SUMIFS('Commandes Dechargees'!H:H,'Commandes Dechargees'!D:D,Table3[[#This Row],[Code FRS]])</f>
        <v/>
      </c>
      <c r="I48" s="4">
        <f>SUMIFS('Commandes Dechargees'!K:K,'Commandes Dechargees'!D:D,Table3[[#This Row],[Code FRS]])</f>
        <v/>
      </c>
      <c r="J48" s="4">
        <f>SUMIFS('Commandes Dechargees'!L:L,'Commandes Dechargees'!D:D,Table3[[#This Row],[Code FRS]])</f>
        <v/>
      </c>
      <c r="K48" s="4">
        <f>I48-J48</f>
        <v/>
      </c>
      <c r="L48" s="16">
        <f>IFERROR(J48/I48,0)</f>
        <v/>
      </c>
    </row>
    <row r="49" ht="20.5" customHeight="1">
      <c r="C49" s="12">
        <f>'CODE FRS'!B48</f>
        <v/>
      </c>
      <c r="D49" s="5">
        <f>_xlfn.XLOOKUP(C49,'CODE FRS'!B:B,'CODE FRS'!C:C)</f>
        <v/>
      </c>
      <c r="E49" s="2">
        <f>COUNTIF('Bons de Commande'!E:E,Table3[[#This Row],[Code FRS]])</f>
        <v/>
      </c>
      <c r="F49" s="2">
        <f>COUNTIFS(Table1[Statut Livraison],"REJETE",Table1[Fournisseur],Table3[[#This Row],[Fournisseur]])</f>
        <v/>
      </c>
      <c r="G49" s="2">
        <f>COUNTIF('Commandes Dechargees'!D:D,Table3[[#This Row],[Code FRS]])</f>
        <v/>
      </c>
      <c r="H49" s="4">
        <f>SUMIFS('Commandes Dechargees'!H:H,'Commandes Dechargees'!D:D,Table3[[#This Row],[Code FRS]])</f>
        <v/>
      </c>
      <c r="I49" s="4">
        <f>SUMIFS('Commandes Dechargees'!K:K,'Commandes Dechargees'!D:D,Table3[[#This Row],[Code FRS]])</f>
        <v/>
      </c>
      <c r="J49" s="4">
        <f>SUMIFS('Commandes Dechargees'!L:L,'Commandes Dechargees'!D:D,Table3[[#This Row],[Code FRS]])</f>
        <v/>
      </c>
      <c r="K49" s="4">
        <f>I49-J49</f>
        <v/>
      </c>
      <c r="L49" s="16">
        <f>IFERROR(J49/I49,0)</f>
        <v/>
      </c>
    </row>
    <row r="50" ht="20.5" customHeight="1">
      <c r="C50" s="12">
        <f>'CODE FRS'!B49</f>
        <v/>
      </c>
      <c r="D50" s="5">
        <f>_xlfn.XLOOKUP(C50,'CODE FRS'!B:B,'CODE FRS'!C:C)</f>
        <v/>
      </c>
      <c r="E50" s="2">
        <f>COUNTIF('Bons de Commande'!E:E,Table3[[#This Row],[Code FRS]])</f>
        <v/>
      </c>
      <c r="F50" s="2">
        <f>COUNTIFS(Table1[Statut Livraison],"REJETE",Table1[Fournisseur],Table3[[#This Row],[Fournisseur]])</f>
        <v/>
      </c>
      <c r="G50" s="2">
        <f>COUNTIF('Commandes Dechargees'!D:D,Table3[[#This Row],[Code FRS]])</f>
        <v/>
      </c>
      <c r="H50" s="4">
        <f>SUMIFS('Commandes Dechargees'!H:H,'Commandes Dechargees'!D:D,Table3[[#This Row],[Code FRS]])</f>
        <v/>
      </c>
      <c r="I50" s="4">
        <f>SUMIFS('Commandes Dechargees'!K:K,'Commandes Dechargees'!D:D,Table3[[#This Row],[Code FRS]])</f>
        <v/>
      </c>
      <c r="J50" s="4">
        <f>SUMIFS('Commandes Dechargees'!L:L,'Commandes Dechargees'!D:D,Table3[[#This Row],[Code FRS]])</f>
        <v/>
      </c>
      <c r="K50" s="4">
        <f>I50-J50</f>
        <v/>
      </c>
      <c r="L50" s="16">
        <f>IFERROR(J50/I50,0)</f>
        <v/>
      </c>
    </row>
  </sheetData>
  <mergeCells count="2">
    <mergeCell ref="C2:N2"/>
    <mergeCell ref="C1:N1"/>
  </mergeCells>
  <conditionalFormatting sqref="K5:K50">
    <cfRule type="colorScale" priority="45">
      <colorScale>
        <cfvo type="min"/>
        <cfvo type="max"/>
        <color rgb="FFFCFCFF"/>
        <color rgb="FFF8696B"/>
      </colorScale>
    </cfRule>
  </conditionalFormatting>
  <conditionalFormatting sqref="L1:L1048576">
    <cfRule type="dataBar" priority="3">
      <dataBar>
        <cfvo type="min"/>
        <cfvo type="max"/>
        <color rgb="FF63C384"/>
      </dataBar>
    </cfRule>
  </conditionalFormatting>
  <pageMargins left="0.3" right="0.3" top="0.4" bottom="0.4" header="0.511811023622047" footer="0.511811023622047"/>
  <pageSetup orientation="landscape" scale="55" fitToHeight="0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2026-08-25T09:47:12Z</dcterms:created>
  <dcterms:modified xmlns:dcterms="http://purl.org/dc/terms/" xmlns:xsi="http://www.w3.org/2001/XMLSchema-instance" xsi:type="dcterms:W3CDTF">2026-09-26T15:50:07Z</dcterms:modified>
  <cp:lastModifiedBy>nap sarl</cp:lastModifiedBy>
  <cp:revision>1</cp:revision>
  <cp:lastPrinted>2026-09-19T09:44:03Z</cp:lastPrinted>
</cp:coreProperties>
</file>